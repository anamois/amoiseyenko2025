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tech-my.sharepoint.com/personal/anamois_caltech_edu/Documents/Caltech/MZ Lab/Writing/Paper/Data availability/Volatile fatty acids data/"/>
    </mc:Choice>
  </mc:AlternateContent>
  <xr:revisionPtr revIDLastSave="37" documentId="13_ncr:1_{5E13157E-5C7E-4BE5-B8A2-3AF5FFC59A52}" xr6:coauthVersionLast="47" xr6:coauthVersionMax="47" xr10:uidLastSave="{0F252C84-AFF7-334F-AC39-D91A474C2A84}"/>
  <bookViews>
    <workbookView xWindow="0" yWindow="500" windowWidth="28800" windowHeight="17500" xr2:uid="{A440BE12-6817-41E2-ADAE-658F40708A10}"/>
  </bookViews>
  <sheets>
    <sheet name="Normalized Results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0" l="1"/>
  <c r="H5" i="20" l="1"/>
  <c r="H45" i="20"/>
  <c r="H76" i="20"/>
  <c r="H10" i="20"/>
  <c r="H80" i="20"/>
  <c r="H15" i="20"/>
  <c r="H50" i="20"/>
  <c r="H20" i="20"/>
  <c r="H55" i="20"/>
  <c r="H84" i="20"/>
  <c r="H25" i="20"/>
  <c r="H59" i="20"/>
  <c r="H30" i="20"/>
  <c r="H64" i="20"/>
  <c r="H88" i="20"/>
  <c r="H68" i="20"/>
  <c r="H92" i="20"/>
  <c r="H72" i="20"/>
  <c r="H96" i="20"/>
  <c r="H100" i="20"/>
  <c r="H4" i="20"/>
  <c r="H44" i="20"/>
  <c r="H75" i="20"/>
  <c r="H9" i="20"/>
  <c r="H79" i="20"/>
  <c r="H14" i="20"/>
  <c r="H49" i="20"/>
  <c r="H19" i="20"/>
  <c r="H54" i="20"/>
  <c r="H83" i="20"/>
  <c r="H24" i="20"/>
  <c r="H58" i="20"/>
  <c r="H29" i="20"/>
  <c r="H63" i="20"/>
  <c r="H87" i="20"/>
  <c r="H67" i="20"/>
  <c r="H91" i="20"/>
  <c r="H71" i="20"/>
  <c r="H95" i="20"/>
  <c r="H99" i="20"/>
  <c r="H3" i="20"/>
  <c r="H43" i="20"/>
  <c r="H74" i="20"/>
  <c r="H8" i="20"/>
  <c r="H78" i="20"/>
  <c r="H13" i="20"/>
  <c r="H48" i="20"/>
  <c r="H18" i="20"/>
  <c r="H53" i="20"/>
  <c r="H82" i="20"/>
  <c r="H23" i="20"/>
  <c r="H57" i="20"/>
  <c r="H28" i="20"/>
  <c r="H62" i="20"/>
  <c r="H86" i="20"/>
  <c r="H66" i="20"/>
  <c r="H90" i="20"/>
  <c r="H70" i="20"/>
  <c r="H94" i="20"/>
  <c r="H98" i="20"/>
  <c r="H2" i="20"/>
  <c r="H42" i="20"/>
  <c r="H73" i="20"/>
  <c r="H7" i="20"/>
  <c r="H77" i="20"/>
  <c r="H12" i="20"/>
  <c r="H47" i="20"/>
  <c r="H17" i="20"/>
  <c r="H52" i="20"/>
  <c r="H81" i="20"/>
  <c r="H22" i="20"/>
  <c r="H56" i="20"/>
  <c r="H27" i="20"/>
  <c r="H61" i="20"/>
  <c r="H85" i="20"/>
  <c r="H65" i="20"/>
  <c r="H89" i="20"/>
  <c r="H69" i="20"/>
  <c r="H93" i="20"/>
  <c r="H97" i="20"/>
  <c r="J12" i="20"/>
  <c r="K12" i="20" l="1"/>
  <c r="K28" i="20" l="1"/>
  <c r="J28" i="20"/>
  <c r="K20" i="20"/>
  <c r="J20" i="20"/>
  <c r="K5" i="20"/>
  <c r="J5" i="20"/>
  <c r="K99" i="20"/>
  <c r="J99" i="20"/>
  <c r="K87" i="20"/>
  <c r="J87" i="20"/>
  <c r="K92" i="20"/>
  <c r="J92" i="20"/>
  <c r="K64" i="20"/>
  <c r="J64" i="20"/>
  <c r="K71" i="20"/>
  <c r="J71" i="20"/>
  <c r="K70" i="20"/>
  <c r="J70" i="20"/>
  <c r="K62" i="20"/>
  <c r="J62" i="20"/>
  <c r="K47" i="20"/>
  <c r="J47" i="20"/>
  <c r="K73" i="20"/>
  <c r="J73" i="20"/>
  <c r="K69" i="20"/>
  <c r="J69" i="20"/>
  <c r="K89" i="20"/>
  <c r="J89" i="20"/>
  <c r="K61" i="20"/>
  <c r="J61" i="20"/>
  <c r="K59" i="20"/>
  <c r="J59" i="20"/>
  <c r="K55" i="20"/>
  <c r="J55" i="20"/>
  <c r="K15" i="20"/>
  <c r="J15" i="20"/>
  <c r="K45" i="20"/>
  <c r="J45" i="20"/>
  <c r="K66" i="20"/>
  <c r="J66" i="20"/>
  <c r="K27" i="20"/>
  <c r="J27" i="20"/>
  <c r="K24" i="20"/>
  <c r="J24" i="20"/>
  <c r="K4" i="20"/>
  <c r="J4" i="20"/>
  <c r="K95" i="20"/>
  <c r="J95" i="20"/>
  <c r="K72" i="20"/>
  <c r="J72" i="20"/>
  <c r="K83" i="20"/>
  <c r="J83" i="20"/>
  <c r="K49" i="20"/>
  <c r="J49" i="20"/>
  <c r="K9" i="20"/>
  <c r="J9" i="20"/>
  <c r="K75" i="20"/>
  <c r="J75" i="20"/>
  <c r="K91" i="20"/>
  <c r="J91" i="20"/>
  <c r="K63" i="20"/>
  <c r="J63" i="20"/>
  <c r="K82" i="20"/>
  <c r="J82" i="20"/>
  <c r="K48" i="20"/>
  <c r="J48" i="20"/>
  <c r="K8" i="20"/>
  <c r="J8" i="20"/>
  <c r="K74" i="20"/>
  <c r="J74" i="20"/>
  <c r="K81" i="20"/>
  <c r="J81" i="20"/>
  <c r="K7" i="20"/>
  <c r="J7" i="20"/>
  <c r="K68" i="20"/>
  <c r="J68" i="20"/>
  <c r="K30" i="20"/>
  <c r="J30" i="20"/>
  <c r="K58" i="20"/>
  <c r="J58" i="20"/>
  <c r="K54" i="20"/>
  <c r="J54" i="20"/>
  <c r="K14" i="20"/>
  <c r="J14" i="20"/>
  <c r="K44" i="20"/>
  <c r="J44" i="20"/>
  <c r="K56" i="20"/>
  <c r="J56" i="20"/>
  <c r="K65" i="20"/>
  <c r="J65" i="20"/>
  <c r="K100" i="20"/>
  <c r="J100" i="20"/>
  <c r="K88" i="20"/>
  <c r="J88" i="20"/>
  <c r="K19" i="20"/>
  <c r="J19" i="20"/>
  <c r="K90" i="20"/>
  <c r="J90" i="20"/>
  <c r="K67" i="20"/>
  <c r="J67" i="20"/>
  <c r="K29" i="20"/>
  <c r="J29" i="20"/>
  <c r="K57" i="20"/>
  <c r="J57" i="20"/>
  <c r="K53" i="20"/>
  <c r="J53" i="20"/>
  <c r="K13" i="20"/>
  <c r="J13" i="20"/>
  <c r="K43" i="20"/>
  <c r="J43" i="20"/>
  <c r="K52" i="20"/>
  <c r="J52" i="20"/>
  <c r="K42" i="20"/>
  <c r="J42" i="20"/>
  <c r="K25" i="20"/>
  <c r="J25" i="20"/>
  <c r="K80" i="20"/>
  <c r="J80" i="20"/>
  <c r="K96" i="20"/>
  <c r="J96" i="20"/>
  <c r="K79" i="20"/>
  <c r="J79" i="20"/>
  <c r="K23" i="20"/>
  <c r="J23" i="20"/>
  <c r="K18" i="20"/>
  <c r="J18" i="20"/>
  <c r="K78" i="20"/>
  <c r="J78" i="20"/>
  <c r="K3" i="20"/>
  <c r="J3" i="20"/>
  <c r="K98" i="20"/>
  <c r="J98" i="20"/>
  <c r="K94" i="20"/>
  <c r="J94" i="20"/>
  <c r="K86" i="20"/>
  <c r="J86" i="20"/>
  <c r="K22" i="20"/>
  <c r="J22" i="20"/>
  <c r="K17" i="20"/>
  <c r="J17" i="20"/>
  <c r="K77" i="20"/>
  <c r="J77" i="20"/>
  <c r="K2" i="20"/>
  <c r="J2" i="20"/>
  <c r="K97" i="20"/>
  <c r="J97" i="20"/>
  <c r="K93" i="20"/>
  <c r="J93" i="20"/>
  <c r="K85" i="20"/>
  <c r="J85" i="20"/>
  <c r="K84" i="20"/>
  <c r="J84" i="20"/>
  <c r="K50" i="20"/>
  <c r="J50" i="20"/>
  <c r="K10" i="20"/>
  <c r="J10" i="20"/>
  <c r="K76" i="20"/>
  <c r="J76" i="20"/>
</calcChain>
</file>

<file path=xl/sharedStrings.xml><?xml version="1.0" encoding="utf-8"?>
<sst xmlns="http://schemas.openxmlformats.org/spreadsheetml/2006/main" count="616" uniqueCount="54">
  <si>
    <t>Formate</t>
  </si>
  <si>
    <t>Acetate</t>
  </si>
  <si>
    <t>Propionate</t>
  </si>
  <si>
    <t>Isobutyrate</t>
  </si>
  <si>
    <t>2Aa-C</t>
  </si>
  <si>
    <t>VFA</t>
  </si>
  <si>
    <t>mM</t>
  </si>
  <si>
    <t>4Ac-C</t>
  </si>
  <si>
    <t>6Ab-C</t>
  </si>
  <si>
    <t>6Aa-C</t>
  </si>
  <si>
    <t>4Ab-C</t>
  </si>
  <si>
    <t>7Ac-C</t>
  </si>
  <si>
    <t>6Ac-C</t>
  </si>
  <si>
    <t>7Ab-C</t>
  </si>
  <si>
    <t>8Ab-C</t>
  </si>
  <si>
    <t>5Ab-C</t>
  </si>
  <si>
    <t>3Aa-C</t>
  </si>
  <si>
    <t>9Ac-C</t>
  </si>
  <si>
    <t>4Aa-C</t>
  </si>
  <si>
    <t>1Aa-C</t>
  </si>
  <si>
    <t>1Ac-C</t>
  </si>
  <si>
    <t>1Ab-C</t>
  </si>
  <si>
    <t>2Ac-C</t>
  </si>
  <si>
    <t>5Aa-C</t>
  </si>
  <si>
    <t>8Ac-C</t>
  </si>
  <si>
    <t>3Ab-C</t>
  </si>
  <si>
    <t>Sample</t>
  </si>
  <si>
    <t>Butyrate</t>
  </si>
  <si>
    <t>Conversion</t>
  </si>
  <si>
    <t>1 L/1000 mL</t>
  </si>
  <si>
    <t>1 Mol/ 1000 mMol</t>
  </si>
  <si>
    <t>mmol/g wet cecal sample</t>
  </si>
  <si>
    <t>Sample Name</t>
  </si>
  <si>
    <t>Experimental Group</t>
  </si>
  <si>
    <t>Group w/in Experiment</t>
  </si>
  <si>
    <t>Sample Type</t>
  </si>
  <si>
    <t>a</t>
  </si>
  <si>
    <t>C</t>
  </si>
  <si>
    <t>A</t>
  </si>
  <si>
    <t>b</t>
  </si>
  <si>
    <t>c</t>
  </si>
  <si>
    <t>sCOD (mg/L, accouting for dilution)</t>
  </si>
  <si>
    <t>BQL</t>
  </si>
  <si>
    <t>2000 uL/100 uL</t>
  </si>
  <si>
    <t xml:space="preserve">Initial Dilution </t>
  </si>
  <si>
    <t>sCOD Dilution</t>
  </si>
  <si>
    <t>sCOD (mg/g wet feces)</t>
  </si>
  <si>
    <t>Normalized VFA (nM/sCOD mg)</t>
  </si>
  <si>
    <t>-</t>
  </si>
  <si>
    <t>1mL/ 0.1g Cecal Sample</t>
  </si>
  <si>
    <t>Key</t>
  </si>
  <si>
    <t>Wildtype</t>
  </si>
  <si>
    <t>Thy1-ASO-Control</t>
  </si>
  <si>
    <t>Thy1-ASO-F. prausnitzii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</si>
</sst>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1"/>
    <xf numFmtId="2" fontId="0" fillId="0" borderId="0" xfId="0" applyNumberFormat="1"/>
    <xf numFmtId="20" fontId="0" fillId="0" borderId="1" xfId="0" applyNumberFormat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quotePrefix="1" applyNumberFormat="1" applyAlignment="1">
      <alignment horizontal="center"/>
    </xf>
  </cellXfs>
  <cellStyles count="2">
    <cellStyle name="Normal" xfId="0" builtinId="0"/>
    <cellStyle name="Normal 2" xfId="1" xr:uid="{40A8770F-13AC-429D-B7DA-C1E465D575B4}"/>
  </cellStyles>
  <dxfs count="12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385C02-53D8-41BE-901D-ABC9680394DC}" name="Table8" displayName="Table8" ref="A1:K100" totalsRowShown="0" dataDxfId="11">
  <autoFilter ref="A1:K100" xr:uid="{0D385C02-53D8-41BE-901D-ABC9680394DC}"/>
  <sortState xmlns:xlrd2="http://schemas.microsoft.com/office/spreadsheetml/2017/richdata2" ref="A2:K100">
    <sortCondition ref="B1:B100"/>
  </sortState>
  <tableColumns count="11">
    <tableColumn id="1" xr3:uid="{AD02CD1E-1313-430F-A46D-844D9203E689}" name="Sample Name" dataDxfId="10"/>
    <tableColumn id="13" xr3:uid="{179B4B48-14D2-4978-996C-33F2B81EB46E}" name="Experimental Group" dataDxfId="9"/>
    <tableColumn id="14" xr3:uid="{F5609D32-305D-47A7-9941-1844550DDD05}" name="Group w/in Experiment" dataDxfId="8"/>
    <tableColumn id="15" xr3:uid="{8E504923-06FB-4B8A-B30F-4F832E2E4446}" name="Sample Type" dataDxfId="7"/>
    <tableColumn id="12" xr3:uid="{8D396847-5C79-4734-9010-92D05AD94F74}" name="Sample" dataDxfId="6"/>
    <tableColumn id="2" xr3:uid="{C8A72A81-87B0-41C8-AA18-7F3FCB7D7B60}" name="VFA" dataDxfId="5"/>
    <tableColumn id="5" xr3:uid="{93B675F5-D8CD-463D-9B81-3163AD864D1F}" name="mM" dataDxfId="4"/>
    <tableColumn id="6" xr3:uid="{C3F28F3B-6090-4BA3-83D8-8F8435D89A4E}" name="mmol/g wet cecal sample" dataDxfId="3"/>
    <tableColumn id="8" xr3:uid="{9DD7150B-9700-4581-9FE5-E142BCE2D24A}" name="sCOD (mg/L, accouting for dilution)" dataDxfId="2"/>
    <tableColumn id="11" xr3:uid="{BD3D24DB-0E98-47AC-8959-FFA6ABFE5AD7}" name="sCOD (mg/g wet feces)" dataDxfId="1"/>
    <tableColumn id="10" xr3:uid="{54C1CDBA-821B-48EC-82F4-24A387C7D544}" name="Normalized VFA (nM/sCOD mg)" dataDxfId="0">
      <calculatedColumnFormula>Table8[[#This Row],[mM]]/Table8[[#This Row],[sCOD (mg/L, accouting for dilution)]]*1000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C5D8-0368-486C-BDD1-1C72BED9A755}">
  <dimension ref="A1:T100"/>
  <sheetViews>
    <sheetView tabSelected="1" topLeftCell="C1" workbookViewId="0">
      <selection activeCell="M11" sqref="M11"/>
    </sheetView>
  </sheetViews>
  <sheetFormatPr baseColWidth="10" defaultColWidth="8.83203125" defaultRowHeight="15" x14ac:dyDescent="0.2"/>
  <cols>
    <col min="1" max="1" width="15.6640625" bestFit="1" customWidth="1"/>
    <col min="2" max="2" width="21.5" bestFit="1" customWidth="1"/>
    <col min="3" max="3" width="24.5" bestFit="1" customWidth="1"/>
    <col min="4" max="4" width="14.5" bestFit="1" customWidth="1"/>
    <col min="5" max="5" width="9.83203125" bestFit="1" customWidth="1"/>
    <col min="6" max="6" width="11.1640625" bestFit="1" customWidth="1"/>
    <col min="7" max="7" width="6.83203125" style="5" bestFit="1" customWidth="1"/>
    <col min="8" max="8" width="26.33203125" style="5" bestFit="1" customWidth="1"/>
    <col min="9" max="9" width="34.83203125" bestFit="1" customWidth="1"/>
    <col min="10" max="10" width="23.83203125" bestFit="1" customWidth="1"/>
    <col min="11" max="11" width="31.6640625" style="5" bestFit="1" customWidth="1"/>
    <col min="13" max="13" width="22.33203125" bestFit="1" customWidth="1"/>
    <col min="14" max="14" width="22" bestFit="1" customWidth="1"/>
    <col min="18" max="18" width="14.33203125" customWidth="1"/>
    <col min="19" max="19" width="35" bestFit="1" customWidth="1"/>
    <col min="21" max="21" width="14.83203125" customWidth="1"/>
  </cols>
  <sheetData>
    <row r="1" spans="1:20" x14ac:dyDescent="0.2">
      <c r="A1" s="1" t="s">
        <v>32</v>
      </c>
      <c r="B1" s="1" t="s">
        <v>33</v>
      </c>
      <c r="C1" s="1" t="s">
        <v>34</v>
      </c>
      <c r="D1" s="1" t="s">
        <v>35</v>
      </c>
      <c r="E1" t="s">
        <v>26</v>
      </c>
      <c r="F1" t="s">
        <v>5</v>
      </c>
      <c r="G1" s="5" t="s">
        <v>6</v>
      </c>
      <c r="H1" s="5" t="s">
        <v>31</v>
      </c>
      <c r="I1" t="s">
        <v>41</v>
      </c>
      <c r="J1" t="s">
        <v>46</v>
      </c>
      <c r="K1" s="5" t="s">
        <v>47</v>
      </c>
      <c r="M1" s="2" t="s">
        <v>28</v>
      </c>
      <c r="N1" s="3" t="s">
        <v>29</v>
      </c>
      <c r="O1" s="3">
        <v>1E-3</v>
      </c>
    </row>
    <row r="2" spans="1:20" x14ac:dyDescent="0.2">
      <c r="A2" s="7">
        <v>1</v>
      </c>
      <c r="B2" s="7" t="s">
        <v>38</v>
      </c>
      <c r="C2" s="7" t="s">
        <v>36</v>
      </c>
      <c r="D2" s="7" t="s">
        <v>37</v>
      </c>
      <c r="E2" s="7" t="s">
        <v>19</v>
      </c>
      <c r="F2" s="7" t="s">
        <v>1</v>
      </c>
      <c r="G2" s="8">
        <v>6.2299683849947289</v>
      </c>
      <c r="H2" s="8">
        <f>Table8[[#This Row],[mM]]*O$1*O$3</f>
        <v>6.2299683849947295E-2</v>
      </c>
      <c r="I2" s="7">
        <v>4780</v>
      </c>
      <c r="J2" s="7">
        <f>Table8[[#This Row],[sCOD (mg/L, accouting for dilution)]]*O$1*O$3</f>
        <v>47.800000000000004</v>
      </c>
      <c r="K2" s="8">
        <f>Table8[[#This Row],[mM]]/Table8[[#This Row],[sCOD (mg/L, accouting for dilution)]]*1000</f>
        <v>1.3033406663168889</v>
      </c>
      <c r="M2" s="2" t="s">
        <v>28</v>
      </c>
      <c r="N2" s="3" t="s">
        <v>30</v>
      </c>
      <c r="O2" s="3">
        <v>1E-3</v>
      </c>
    </row>
    <row r="3" spans="1:20" x14ac:dyDescent="0.2">
      <c r="A3" s="7">
        <v>1</v>
      </c>
      <c r="B3" s="7" t="s">
        <v>38</v>
      </c>
      <c r="C3" s="7" t="s">
        <v>36</v>
      </c>
      <c r="D3" s="7" t="s">
        <v>37</v>
      </c>
      <c r="E3" s="7" t="s">
        <v>19</v>
      </c>
      <c r="F3" s="7" t="s">
        <v>27</v>
      </c>
      <c r="G3" s="8">
        <v>1.7099092103885596</v>
      </c>
      <c r="H3" s="8">
        <f>Table8[[#This Row],[mM]]*O$1*O$3</f>
        <v>1.7099092103885594E-2</v>
      </c>
      <c r="I3" s="7">
        <v>4780</v>
      </c>
      <c r="J3" s="7">
        <f>Table8[[#This Row],[sCOD (mg/L, accouting for dilution)]]*O$1*O$3</f>
        <v>47.800000000000004</v>
      </c>
      <c r="K3" s="8">
        <f>Table8[[#This Row],[mM]]/Table8[[#This Row],[sCOD (mg/L, accouting for dilution)]]*1000</f>
        <v>0.35772159213149785</v>
      </c>
      <c r="M3" s="2" t="s">
        <v>44</v>
      </c>
      <c r="N3" s="3" t="s">
        <v>49</v>
      </c>
      <c r="O3" s="3">
        <v>10</v>
      </c>
    </row>
    <row r="4" spans="1:20" x14ac:dyDescent="0.2">
      <c r="A4" s="7">
        <v>1</v>
      </c>
      <c r="B4" s="7" t="s">
        <v>38</v>
      </c>
      <c r="C4" s="7" t="s">
        <v>36</v>
      </c>
      <c r="D4" s="7" t="s">
        <v>37</v>
      </c>
      <c r="E4" s="7" t="s">
        <v>19</v>
      </c>
      <c r="F4" s="7" t="s">
        <v>0</v>
      </c>
      <c r="G4" s="8">
        <v>7.9899756463735052</v>
      </c>
      <c r="H4" s="8">
        <f>Table8[[#This Row],[mM]]*O$1*O$3</f>
        <v>7.9899756463735053E-2</v>
      </c>
      <c r="I4" s="7">
        <v>4780</v>
      </c>
      <c r="J4" s="7">
        <f>Table8[[#This Row],[sCOD (mg/L, accouting for dilution)]]*O$1*O$3</f>
        <v>47.800000000000004</v>
      </c>
      <c r="K4" s="8">
        <f>Table8[[#This Row],[mM]]/Table8[[#This Row],[sCOD (mg/L, accouting for dilution)]]*1000</f>
        <v>1.6715430222538714</v>
      </c>
      <c r="M4" s="2" t="s">
        <v>45</v>
      </c>
      <c r="N4" s="6" t="s">
        <v>43</v>
      </c>
      <c r="O4" s="3">
        <f>2000/100</f>
        <v>20</v>
      </c>
    </row>
    <row r="5" spans="1:20" x14ac:dyDescent="0.2">
      <c r="A5" s="7">
        <v>1</v>
      </c>
      <c r="B5" s="7" t="s">
        <v>38</v>
      </c>
      <c r="C5" s="7" t="s">
        <v>36</v>
      </c>
      <c r="D5" s="7" t="s">
        <v>37</v>
      </c>
      <c r="E5" s="7" t="s">
        <v>19</v>
      </c>
      <c r="F5" s="7" t="s">
        <v>3</v>
      </c>
      <c r="G5" s="8">
        <v>12.21128820311281</v>
      </c>
      <c r="H5" s="8">
        <f>Table8[[#This Row],[mM]]*O$1*O$3</f>
        <v>0.12211288203112811</v>
      </c>
      <c r="I5" s="7">
        <v>4780</v>
      </c>
      <c r="J5" s="7">
        <f>Table8[[#This Row],[sCOD (mg/L, accouting for dilution)]]*O$1*O$3</f>
        <v>47.800000000000004</v>
      </c>
      <c r="K5" s="8">
        <f>Table8[[#This Row],[mM]]/Table8[[#This Row],[sCOD (mg/L, accouting for dilution)]]*1000</f>
        <v>2.5546628039984958</v>
      </c>
    </row>
    <row r="6" spans="1:20" x14ac:dyDescent="0.2">
      <c r="A6" s="7">
        <v>1</v>
      </c>
      <c r="B6" s="7" t="s">
        <v>38</v>
      </c>
      <c r="C6" s="7" t="s">
        <v>36</v>
      </c>
      <c r="D6" s="7" t="s">
        <v>37</v>
      </c>
      <c r="E6" s="7" t="s">
        <v>19</v>
      </c>
      <c r="F6" s="7" t="s">
        <v>2</v>
      </c>
      <c r="G6" s="8" t="s">
        <v>42</v>
      </c>
      <c r="H6" s="9" t="s">
        <v>48</v>
      </c>
      <c r="I6" s="9" t="s">
        <v>48</v>
      </c>
      <c r="J6" s="9" t="s">
        <v>48</v>
      </c>
      <c r="K6" s="9" t="s">
        <v>48</v>
      </c>
      <c r="M6" s="1" t="s">
        <v>50</v>
      </c>
    </row>
    <row r="7" spans="1:20" x14ac:dyDescent="0.2">
      <c r="A7" s="7">
        <v>2</v>
      </c>
      <c r="B7" s="7" t="s">
        <v>38</v>
      </c>
      <c r="C7" s="7" t="s">
        <v>36</v>
      </c>
      <c r="D7" s="7" t="s">
        <v>37</v>
      </c>
      <c r="E7" s="7" t="s">
        <v>4</v>
      </c>
      <c r="F7" s="7" t="s">
        <v>1</v>
      </c>
      <c r="G7" s="8">
        <v>7.6146543005597325</v>
      </c>
      <c r="H7" s="8">
        <f>Table8[[#This Row],[mM]]*O$1*O$3</f>
        <v>7.6146543005597325E-2</v>
      </c>
      <c r="I7" s="7">
        <v>4560</v>
      </c>
      <c r="J7" s="7">
        <f>Table8[[#This Row],[sCOD (mg/L, accouting for dilution)]]*O$1*O$3</f>
        <v>45.600000000000009</v>
      </c>
      <c r="K7" s="8">
        <f>Table8[[#This Row],[mM]]/Table8[[#This Row],[sCOD (mg/L, accouting for dilution)]]*1000</f>
        <v>1.6698803290701167</v>
      </c>
      <c r="M7" s="1" t="s">
        <v>36</v>
      </c>
      <c r="N7" t="s">
        <v>51</v>
      </c>
    </row>
    <row r="8" spans="1:20" x14ac:dyDescent="0.2">
      <c r="A8" s="7">
        <v>2</v>
      </c>
      <c r="B8" s="7" t="s">
        <v>38</v>
      </c>
      <c r="C8" s="7" t="s">
        <v>36</v>
      </c>
      <c r="D8" s="7" t="s">
        <v>37</v>
      </c>
      <c r="E8" s="7" t="s">
        <v>4</v>
      </c>
      <c r="F8" s="7" t="s">
        <v>27</v>
      </c>
      <c r="G8" s="8">
        <v>1.6272720385997863</v>
      </c>
      <c r="H8" s="8">
        <f>Table8[[#This Row],[mM]]*O$1*O$3</f>
        <v>1.6272720385997863E-2</v>
      </c>
      <c r="I8" s="7">
        <v>4560</v>
      </c>
      <c r="J8" s="7">
        <f>Table8[[#This Row],[sCOD (mg/L, accouting for dilution)]]*O$1*O$3</f>
        <v>45.600000000000009</v>
      </c>
      <c r="K8" s="8">
        <f>Table8[[#This Row],[mM]]/Table8[[#This Row],[sCOD (mg/L, accouting for dilution)]]*1000</f>
        <v>0.35685790320170752</v>
      </c>
      <c r="M8" s="1" t="s">
        <v>39</v>
      </c>
      <c r="N8" s="5" t="s">
        <v>52</v>
      </c>
      <c r="Q8" s="5"/>
    </row>
    <row r="9" spans="1:20" x14ac:dyDescent="0.2">
      <c r="A9" s="7">
        <v>2</v>
      </c>
      <c r="B9" s="7" t="s">
        <v>38</v>
      </c>
      <c r="C9" s="7" t="s">
        <v>36</v>
      </c>
      <c r="D9" s="7" t="s">
        <v>37</v>
      </c>
      <c r="E9" s="7" t="s">
        <v>4</v>
      </c>
      <c r="F9" s="7" t="s">
        <v>0</v>
      </c>
      <c r="G9" s="8">
        <v>6.6284337029516101</v>
      </c>
      <c r="H9" s="8">
        <f>Table8[[#This Row],[mM]]*O$1*O$3</f>
        <v>6.6284337029516111E-2</v>
      </c>
      <c r="I9" s="7">
        <v>4560</v>
      </c>
      <c r="J9" s="7">
        <f>Table8[[#This Row],[sCOD (mg/L, accouting for dilution)]]*O$1*O$3</f>
        <v>45.600000000000009</v>
      </c>
      <c r="K9" s="8">
        <f>Table8[[#This Row],[mM]]/Table8[[#This Row],[sCOD (mg/L, accouting for dilution)]]*1000</f>
        <v>1.4536038822262303</v>
      </c>
      <c r="M9" s="1" t="s">
        <v>40</v>
      </c>
      <c r="N9" t="s">
        <v>53</v>
      </c>
    </row>
    <row r="10" spans="1:20" x14ac:dyDescent="0.2">
      <c r="A10" s="7">
        <v>2</v>
      </c>
      <c r="B10" s="7" t="s">
        <v>38</v>
      </c>
      <c r="C10" s="7" t="s">
        <v>36</v>
      </c>
      <c r="D10" s="7" t="s">
        <v>37</v>
      </c>
      <c r="E10" s="7" t="s">
        <v>4</v>
      </c>
      <c r="F10" s="7" t="s">
        <v>3</v>
      </c>
      <c r="G10" s="8">
        <v>12.683573270986113</v>
      </c>
      <c r="H10" s="8">
        <f>Table8[[#This Row],[mM]]*O$1*O$3</f>
        <v>0.12683573270986112</v>
      </c>
      <c r="I10" s="7">
        <v>4560</v>
      </c>
      <c r="J10" s="7">
        <f>Table8[[#This Row],[sCOD (mg/L, accouting for dilution)]]*O$1*O$3</f>
        <v>45.600000000000009</v>
      </c>
      <c r="K10" s="8">
        <f>Table8[[#This Row],[mM]]/Table8[[#This Row],[sCOD (mg/L, accouting for dilution)]]*1000</f>
        <v>2.7814853664443229</v>
      </c>
    </row>
    <row r="11" spans="1:20" x14ac:dyDescent="0.2">
      <c r="A11" s="7">
        <v>2</v>
      </c>
      <c r="B11" s="7" t="s">
        <v>38</v>
      </c>
      <c r="C11" s="7" t="s">
        <v>36</v>
      </c>
      <c r="D11" s="7" t="s">
        <v>37</v>
      </c>
      <c r="E11" s="7" t="s">
        <v>4</v>
      </c>
      <c r="F11" s="7" t="s">
        <v>2</v>
      </c>
      <c r="G11" s="8" t="s">
        <v>42</v>
      </c>
      <c r="H11" s="9" t="s">
        <v>48</v>
      </c>
      <c r="I11" s="9" t="s">
        <v>48</v>
      </c>
      <c r="J11" s="9" t="s">
        <v>48</v>
      </c>
      <c r="K11" s="9" t="s">
        <v>48</v>
      </c>
    </row>
    <row r="12" spans="1:20" x14ac:dyDescent="0.2">
      <c r="A12" s="7">
        <v>3</v>
      </c>
      <c r="B12" s="7" t="s">
        <v>38</v>
      </c>
      <c r="C12" s="7" t="s">
        <v>36</v>
      </c>
      <c r="D12" s="7" t="s">
        <v>37</v>
      </c>
      <c r="E12" s="7" t="s">
        <v>16</v>
      </c>
      <c r="F12" s="7" t="s">
        <v>1</v>
      </c>
      <c r="G12" s="8">
        <v>6.361523497105968</v>
      </c>
      <c r="H12" s="8">
        <f>Table8[[#This Row],[mM]]*O$1*O$3</f>
        <v>6.3615234971059684E-2</v>
      </c>
      <c r="I12" s="7">
        <v>7720</v>
      </c>
      <c r="J12" s="7">
        <f>Table8[[#This Row],[sCOD (mg/L, accouting for dilution)]]*O$1*O$3</f>
        <v>77.2</v>
      </c>
      <c r="K12" s="8">
        <f>Table8[[#This Row],[mM]]/Table8[[#This Row],[sCOD (mg/L, accouting for dilution)]]*1000</f>
        <v>0.8240315410759026</v>
      </c>
    </row>
    <row r="13" spans="1:20" ht="16" x14ac:dyDescent="0.2">
      <c r="A13" s="7">
        <v>3</v>
      </c>
      <c r="B13" s="7" t="s">
        <v>38</v>
      </c>
      <c r="C13" s="7" t="s">
        <v>36</v>
      </c>
      <c r="D13" s="7" t="s">
        <v>37</v>
      </c>
      <c r="E13" s="7" t="s">
        <v>16</v>
      </c>
      <c r="F13" s="7" t="s">
        <v>27</v>
      </c>
      <c r="G13" s="8">
        <v>1.57798563086281</v>
      </c>
      <c r="H13" s="8">
        <f>Table8[[#This Row],[mM]]*O$1*O$3</f>
        <v>1.5779856308628101E-2</v>
      </c>
      <c r="I13" s="7">
        <v>7720</v>
      </c>
      <c r="J13" s="7">
        <f>Table8[[#This Row],[sCOD (mg/L, accouting for dilution)]]*O$1*O$3</f>
        <v>77.2</v>
      </c>
      <c r="K13" s="8">
        <f>Table8[[#This Row],[mM]]/Table8[[#This Row],[sCOD (mg/L, accouting for dilution)]]*1000</f>
        <v>0.20440228379051942</v>
      </c>
      <c r="T13" s="4"/>
    </row>
    <row r="14" spans="1:20" x14ac:dyDescent="0.2">
      <c r="A14" s="7">
        <v>3</v>
      </c>
      <c r="B14" s="7" t="s">
        <v>38</v>
      </c>
      <c r="C14" s="7" t="s">
        <v>36</v>
      </c>
      <c r="D14" s="7" t="s">
        <v>37</v>
      </c>
      <c r="E14" s="7" t="s">
        <v>16</v>
      </c>
      <c r="F14" s="7" t="s">
        <v>0</v>
      </c>
      <c r="G14" s="8">
        <v>7.2817000398460836</v>
      </c>
      <c r="H14" s="8">
        <f>Table8[[#This Row],[mM]]*O$1*O$3</f>
        <v>7.281700039846084E-2</v>
      </c>
      <c r="I14" s="7">
        <v>7720</v>
      </c>
      <c r="J14" s="7">
        <f>Table8[[#This Row],[sCOD (mg/L, accouting for dilution)]]*O$1*O$3</f>
        <v>77.2</v>
      </c>
      <c r="K14" s="8">
        <f>Table8[[#This Row],[mM]]/Table8[[#This Row],[sCOD (mg/L, accouting for dilution)]]*1000</f>
        <v>0.94322539376244607</v>
      </c>
    </row>
    <row r="15" spans="1:20" x14ac:dyDescent="0.2">
      <c r="A15" s="7">
        <v>3</v>
      </c>
      <c r="B15" s="7" t="s">
        <v>38</v>
      </c>
      <c r="C15" s="7" t="s">
        <v>36</v>
      </c>
      <c r="D15" s="7" t="s">
        <v>37</v>
      </c>
      <c r="E15" s="7" t="s">
        <v>16</v>
      </c>
      <c r="F15" s="7" t="s">
        <v>3</v>
      </c>
      <c r="G15" s="8">
        <v>12.584817645352238</v>
      </c>
      <c r="H15" s="8">
        <f>Table8[[#This Row],[mM]]*O$1*O$3</f>
        <v>0.12584817645352239</v>
      </c>
      <c r="I15" s="7">
        <v>7720</v>
      </c>
      <c r="J15" s="7">
        <f>Table8[[#This Row],[sCOD (mg/L, accouting for dilution)]]*O$1*O$3</f>
        <v>77.2</v>
      </c>
      <c r="K15" s="8">
        <f>Table8[[#This Row],[mM]]/Table8[[#This Row],[sCOD (mg/L, accouting for dilution)]]*1000</f>
        <v>1.630157726081896</v>
      </c>
    </row>
    <row r="16" spans="1:20" x14ac:dyDescent="0.2">
      <c r="A16" s="7">
        <v>3</v>
      </c>
      <c r="B16" s="7" t="s">
        <v>38</v>
      </c>
      <c r="C16" s="7" t="s">
        <v>36</v>
      </c>
      <c r="D16" s="7" t="s">
        <v>37</v>
      </c>
      <c r="E16" s="7" t="s">
        <v>16</v>
      </c>
      <c r="F16" s="7" t="s">
        <v>2</v>
      </c>
      <c r="G16" s="8" t="s">
        <v>42</v>
      </c>
      <c r="H16" s="9" t="s">
        <v>48</v>
      </c>
      <c r="I16" s="9" t="s">
        <v>48</v>
      </c>
      <c r="J16" s="9" t="s">
        <v>48</v>
      </c>
      <c r="K16" s="9" t="s">
        <v>48</v>
      </c>
    </row>
    <row r="17" spans="1:11" x14ac:dyDescent="0.2">
      <c r="A17" s="7">
        <v>4</v>
      </c>
      <c r="B17" s="7" t="s">
        <v>38</v>
      </c>
      <c r="C17" s="7" t="s">
        <v>36</v>
      </c>
      <c r="D17" s="7" t="s">
        <v>37</v>
      </c>
      <c r="E17" s="7" t="s">
        <v>18</v>
      </c>
      <c r="F17" s="7" t="s">
        <v>1</v>
      </c>
      <c r="G17" s="8">
        <v>6.7749423610292281</v>
      </c>
      <c r="H17" s="8">
        <f>Table8[[#This Row],[mM]]*O$1*O$3</f>
        <v>6.7749423610292278E-2</v>
      </c>
      <c r="I17" s="7">
        <v>4620</v>
      </c>
      <c r="J17" s="7">
        <f>Table8[[#This Row],[sCOD (mg/L, accouting for dilution)]]*O$1*O$3</f>
        <v>46.2</v>
      </c>
      <c r="K17" s="8">
        <f>Table8[[#This Row],[mM]]/Table8[[#This Row],[sCOD (mg/L, accouting for dilution)]]*1000</f>
        <v>1.4664377404825171</v>
      </c>
    </row>
    <row r="18" spans="1:11" x14ac:dyDescent="0.2">
      <c r="A18" s="7">
        <v>4</v>
      </c>
      <c r="B18" s="7" t="s">
        <v>38</v>
      </c>
      <c r="C18" s="7" t="s">
        <v>36</v>
      </c>
      <c r="D18" s="7" t="s">
        <v>37</v>
      </c>
      <c r="E18" s="7" t="s">
        <v>18</v>
      </c>
      <c r="F18" s="7" t="s">
        <v>27</v>
      </c>
      <c r="G18" s="8">
        <v>2.4122344674945793</v>
      </c>
      <c r="H18" s="8">
        <f>Table8[[#This Row],[mM]]*O$1*O$3</f>
        <v>2.4122344674945791E-2</v>
      </c>
      <c r="I18" s="7">
        <v>4620</v>
      </c>
      <c r="J18" s="7">
        <f>Table8[[#This Row],[sCOD (mg/L, accouting for dilution)]]*O$1*O$3</f>
        <v>46.2</v>
      </c>
      <c r="K18" s="8">
        <f>Table8[[#This Row],[mM]]/Table8[[#This Row],[sCOD (mg/L, accouting for dilution)]]*1000</f>
        <v>0.52212867261787432</v>
      </c>
    </row>
    <row r="19" spans="1:11" x14ac:dyDescent="0.2">
      <c r="A19" s="7">
        <v>4</v>
      </c>
      <c r="B19" s="7" t="s">
        <v>38</v>
      </c>
      <c r="C19" s="7" t="s">
        <v>36</v>
      </c>
      <c r="D19" s="7" t="s">
        <v>37</v>
      </c>
      <c r="E19" s="7" t="s">
        <v>18</v>
      </c>
      <c r="F19" s="7" t="s">
        <v>0</v>
      </c>
      <c r="G19" s="8">
        <v>10.868469160131241</v>
      </c>
      <c r="H19" s="8">
        <f>Table8[[#This Row],[mM]]*O$1*O$3</f>
        <v>0.1086846916013124</v>
      </c>
      <c r="I19" s="7">
        <v>4620</v>
      </c>
      <c r="J19" s="7">
        <f>Table8[[#This Row],[sCOD (mg/L, accouting for dilution)]]*O$1*O$3</f>
        <v>46.2</v>
      </c>
      <c r="K19" s="8">
        <f>Table8[[#This Row],[mM]]/Table8[[#This Row],[sCOD (mg/L, accouting for dilution)]]*1000</f>
        <v>2.3524825021929092</v>
      </c>
    </row>
    <row r="20" spans="1:11" x14ac:dyDescent="0.2">
      <c r="A20" s="7">
        <v>4</v>
      </c>
      <c r="B20" s="7" t="s">
        <v>38</v>
      </c>
      <c r="C20" s="7" t="s">
        <v>36</v>
      </c>
      <c r="D20" s="7" t="s">
        <v>37</v>
      </c>
      <c r="E20" s="7" t="s">
        <v>18</v>
      </c>
      <c r="F20" s="7" t="s">
        <v>3</v>
      </c>
      <c r="G20" s="8">
        <v>8.4066523577683725</v>
      </c>
      <c r="H20" s="8">
        <f>Table8[[#This Row],[mM]]*O$1*O$3</f>
        <v>8.4066523577683724E-2</v>
      </c>
      <c r="I20" s="7">
        <v>4620</v>
      </c>
      <c r="J20" s="7">
        <f>Table8[[#This Row],[sCOD (mg/L, accouting for dilution)]]*O$1*O$3</f>
        <v>46.2</v>
      </c>
      <c r="K20" s="8">
        <f>Table8[[#This Row],[mM]]/Table8[[#This Row],[sCOD (mg/L, accouting for dilution)]]*1000</f>
        <v>1.8196217224606868</v>
      </c>
    </row>
    <row r="21" spans="1:11" x14ac:dyDescent="0.2">
      <c r="A21" s="7">
        <v>4</v>
      </c>
      <c r="B21" s="7" t="s">
        <v>38</v>
      </c>
      <c r="C21" s="7" t="s">
        <v>36</v>
      </c>
      <c r="D21" s="7" t="s">
        <v>37</v>
      </c>
      <c r="E21" s="7" t="s">
        <v>18</v>
      </c>
      <c r="F21" s="7" t="s">
        <v>2</v>
      </c>
      <c r="G21" s="8" t="s">
        <v>42</v>
      </c>
      <c r="H21" s="9" t="s">
        <v>48</v>
      </c>
      <c r="I21" s="9" t="s">
        <v>48</v>
      </c>
      <c r="J21" s="9" t="s">
        <v>48</v>
      </c>
      <c r="K21" s="9" t="s">
        <v>48</v>
      </c>
    </row>
    <row r="22" spans="1:11" x14ac:dyDescent="0.2">
      <c r="A22" s="7">
        <v>5</v>
      </c>
      <c r="B22" s="7" t="s">
        <v>38</v>
      </c>
      <c r="C22" s="7" t="s">
        <v>36</v>
      </c>
      <c r="D22" s="7" t="s">
        <v>37</v>
      </c>
      <c r="E22" s="7" t="s">
        <v>23</v>
      </c>
      <c r="F22" s="7" t="s">
        <v>1</v>
      </c>
      <c r="G22" s="8">
        <v>7.6712440708318308</v>
      </c>
      <c r="H22" s="8">
        <f>Table8[[#This Row],[mM]]*O$1*O$3</f>
        <v>7.6712440708318314E-2</v>
      </c>
      <c r="I22" s="7">
        <v>6040</v>
      </c>
      <c r="J22" s="7">
        <f>Table8[[#This Row],[sCOD (mg/L, accouting for dilution)]]*O$1*O$3</f>
        <v>60.4</v>
      </c>
      <c r="K22" s="8">
        <f>Table8[[#This Row],[mM]]/Table8[[#This Row],[sCOD (mg/L, accouting for dilution)]]*1000</f>
        <v>1.2700735216608992</v>
      </c>
    </row>
    <row r="23" spans="1:11" x14ac:dyDescent="0.2">
      <c r="A23" s="7">
        <v>5</v>
      </c>
      <c r="B23" s="7" t="s">
        <v>38</v>
      </c>
      <c r="C23" s="7" t="s">
        <v>36</v>
      </c>
      <c r="D23" s="7" t="s">
        <v>37</v>
      </c>
      <c r="E23" s="7" t="s">
        <v>23</v>
      </c>
      <c r="F23" s="7" t="s">
        <v>27</v>
      </c>
      <c r="G23" s="8">
        <v>1.8463754720676033</v>
      </c>
      <c r="H23" s="8">
        <f>Table8[[#This Row],[mM]]*O$1*O$3</f>
        <v>1.8463754720676035E-2</v>
      </c>
      <c r="I23" s="7">
        <v>6040</v>
      </c>
      <c r="J23" s="7">
        <f>Table8[[#This Row],[sCOD (mg/L, accouting for dilution)]]*O$1*O$3</f>
        <v>60.4</v>
      </c>
      <c r="K23" s="8">
        <f>Table8[[#This Row],[mM]]/Table8[[#This Row],[sCOD (mg/L, accouting for dilution)]]*1000</f>
        <v>0.30569130332245087</v>
      </c>
    </row>
    <row r="24" spans="1:11" x14ac:dyDescent="0.2">
      <c r="A24" s="7">
        <v>5</v>
      </c>
      <c r="B24" s="7" t="s">
        <v>38</v>
      </c>
      <c r="C24" s="7" t="s">
        <v>36</v>
      </c>
      <c r="D24" s="7" t="s">
        <v>37</v>
      </c>
      <c r="E24" s="7" t="s">
        <v>23</v>
      </c>
      <c r="F24" s="7" t="s">
        <v>0</v>
      </c>
      <c r="G24" s="8">
        <v>20.511582039586003</v>
      </c>
      <c r="H24" s="8">
        <f>Table8[[#This Row],[mM]]*O$1*O$3</f>
        <v>0.20511582039586002</v>
      </c>
      <c r="I24" s="7">
        <v>6040</v>
      </c>
      <c r="J24" s="7">
        <f>Table8[[#This Row],[sCOD (mg/L, accouting for dilution)]]*O$1*O$3</f>
        <v>60.4</v>
      </c>
      <c r="K24" s="8">
        <f>Table8[[#This Row],[mM]]/Table8[[#This Row],[sCOD (mg/L, accouting for dilution)]]*1000</f>
        <v>3.3959572913221856</v>
      </c>
    </row>
    <row r="25" spans="1:11" x14ac:dyDescent="0.2">
      <c r="A25" s="7">
        <v>5</v>
      </c>
      <c r="B25" s="7" t="s">
        <v>38</v>
      </c>
      <c r="C25" s="7" t="s">
        <v>36</v>
      </c>
      <c r="D25" s="7" t="s">
        <v>37</v>
      </c>
      <c r="E25" s="7" t="s">
        <v>23</v>
      </c>
      <c r="F25" s="7" t="s">
        <v>3</v>
      </c>
      <c r="G25" s="8">
        <v>17.723226980613202</v>
      </c>
      <c r="H25" s="8">
        <f>Table8[[#This Row],[mM]]*O$1*O$3</f>
        <v>0.17723226980613205</v>
      </c>
      <c r="I25" s="7">
        <v>6040</v>
      </c>
      <c r="J25" s="7">
        <f>Table8[[#This Row],[sCOD (mg/L, accouting for dilution)]]*O$1*O$3</f>
        <v>60.4</v>
      </c>
      <c r="K25" s="8">
        <f>Table8[[#This Row],[mM]]/Table8[[#This Row],[sCOD (mg/L, accouting for dilution)]]*1000</f>
        <v>2.9343091027505301</v>
      </c>
    </row>
    <row r="26" spans="1:11" x14ac:dyDescent="0.2">
      <c r="A26" s="7">
        <v>5</v>
      </c>
      <c r="B26" s="7" t="s">
        <v>38</v>
      </c>
      <c r="C26" s="7" t="s">
        <v>36</v>
      </c>
      <c r="D26" s="7" t="s">
        <v>37</v>
      </c>
      <c r="E26" s="7" t="s">
        <v>23</v>
      </c>
      <c r="F26" s="7" t="s">
        <v>2</v>
      </c>
      <c r="G26" s="8" t="s">
        <v>42</v>
      </c>
      <c r="H26" s="9" t="s">
        <v>48</v>
      </c>
      <c r="I26" s="9" t="s">
        <v>48</v>
      </c>
      <c r="J26" s="9" t="s">
        <v>48</v>
      </c>
      <c r="K26" s="9" t="s">
        <v>48</v>
      </c>
    </row>
    <row r="27" spans="1:11" x14ac:dyDescent="0.2">
      <c r="A27" s="7">
        <v>6</v>
      </c>
      <c r="B27" s="7" t="s">
        <v>38</v>
      </c>
      <c r="C27" s="7" t="s">
        <v>36</v>
      </c>
      <c r="D27" s="7" t="s">
        <v>37</v>
      </c>
      <c r="E27" s="7" t="s">
        <v>9</v>
      </c>
      <c r="F27" s="7" t="s">
        <v>1</v>
      </c>
      <c r="G27" s="8">
        <v>4.793075092465112</v>
      </c>
      <c r="H27" s="8">
        <f>Table8[[#This Row],[mM]]*O$1*O$3</f>
        <v>4.7930750924651121E-2</v>
      </c>
      <c r="I27" s="7">
        <v>3640</v>
      </c>
      <c r="J27" s="7">
        <f>Table8[[#This Row],[sCOD (mg/L, accouting for dilution)]]*O$1*O$3</f>
        <v>36.4</v>
      </c>
      <c r="K27" s="8">
        <f>Table8[[#This Row],[mM]]/Table8[[#This Row],[sCOD (mg/L, accouting for dilution)]]*1000</f>
        <v>1.3167788715563495</v>
      </c>
    </row>
    <row r="28" spans="1:11" x14ac:dyDescent="0.2">
      <c r="A28" s="7">
        <v>6</v>
      </c>
      <c r="B28" s="7" t="s">
        <v>38</v>
      </c>
      <c r="C28" s="7" t="s">
        <v>36</v>
      </c>
      <c r="D28" s="7" t="s">
        <v>37</v>
      </c>
      <c r="E28" s="7" t="s">
        <v>9</v>
      </c>
      <c r="F28" s="7" t="s">
        <v>27</v>
      </c>
      <c r="G28" s="8">
        <v>1.429784922404119</v>
      </c>
      <c r="H28" s="8">
        <f>Table8[[#This Row],[mM]]*O$1*O$3</f>
        <v>1.4297849224041191E-2</v>
      </c>
      <c r="I28" s="7">
        <v>3640</v>
      </c>
      <c r="J28" s="7">
        <f>Table8[[#This Row],[sCOD (mg/L, accouting for dilution)]]*O$1*O$3</f>
        <v>36.4</v>
      </c>
      <c r="K28" s="8">
        <f>Table8[[#This Row],[mM]]/Table8[[#This Row],[sCOD (mg/L, accouting for dilution)]]*1000</f>
        <v>0.39279805560552722</v>
      </c>
    </row>
    <row r="29" spans="1:11" x14ac:dyDescent="0.2">
      <c r="A29" s="7">
        <v>6</v>
      </c>
      <c r="B29" s="7" t="s">
        <v>38</v>
      </c>
      <c r="C29" s="7" t="s">
        <v>36</v>
      </c>
      <c r="D29" s="7" t="s">
        <v>37</v>
      </c>
      <c r="E29" s="7" t="s">
        <v>9</v>
      </c>
      <c r="F29" s="7" t="s">
        <v>0</v>
      </c>
      <c r="G29" s="8">
        <v>8.0091192723338125</v>
      </c>
      <c r="H29" s="8">
        <f>Table8[[#This Row],[mM]]*O$1*O$3</f>
        <v>8.0091192723338117E-2</v>
      </c>
      <c r="I29" s="7">
        <v>3640</v>
      </c>
      <c r="J29" s="7">
        <f>Table8[[#This Row],[sCOD (mg/L, accouting for dilution)]]*O$1*O$3</f>
        <v>36.4</v>
      </c>
      <c r="K29" s="8">
        <f>Table8[[#This Row],[mM]]/Table8[[#This Row],[sCOD (mg/L, accouting for dilution)]]*1000</f>
        <v>2.200307492399399</v>
      </c>
    </row>
    <row r="30" spans="1:11" x14ac:dyDescent="0.2">
      <c r="A30" s="7">
        <v>6</v>
      </c>
      <c r="B30" s="7" t="s">
        <v>38</v>
      </c>
      <c r="C30" s="7" t="s">
        <v>36</v>
      </c>
      <c r="D30" s="7" t="s">
        <v>37</v>
      </c>
      <c r="E30" s="7" t="s">
        <v>9</v>
      </c>
      <c r="F30" s="7" t="s">
        <v>3</v>
      </c>
      <c r="G30" s="8">
        <v>6.0963186534560769</v>
      </c>
      <c r="H30" s="8">
        <f>Table8[[#This Row],[mM]]*O$1*O$3</f>
        <v>6.0963186534560773E-2</v>
      </c>
      <c r="I30" s="7">
        <v>3640</v>
      </c>
      <c r="J30" s="7">
        <f>Table8[[#This Row],[sCOD (mg/L, accouting for dilution)]]*O$1*O$3</f>
        <v>36.4</v>
      </c>
      <c r="K30" s="8">
        <f>Table8[[#This Row],[mM]]/Table8[[#This Row],[sCOD (mg/L, accouting for dilution)]]*1000</f>
        <v>1.6748128168835377</v>
      </c>
    </row>
    <row r="31" spans="1:11" x14ac:dyDescent="0.2">
      <c r="A31" s="7">
        <v>6</v>
      </c>
      <c r="B31" s="7" t="s">
        <v>38</v>
      </c>
      <c r="C31" s="7" t="s">
        <v>36</v>
      </c>
      <c r="D31" s="7" t="s">
        <v>37</v>
      </c>
      <c r="E31" s="7" t="s">
        <v>9</v>
      </c>
      <c r="F31" s="7" t="s">
        <v>2</v>
      </c>
      <c r="G31" s="8" t="s">
        <v>42</v>
      </c>
      <c r="H31" s="9" t="s">
        <v>48</v>
      </c>
      <c r="I31" s="9" t="s">
        <v>48</v>
      </c>
      <c r="J31" s="9" t="s">
        <v>48</v>
      </c>
      <c r="K31" s="9" t="s">
        <v>48</v>
      </c>
    </row>
    <row r="32" spans="1:11" x14ac:dyDescent="0.2">
      <c r="A32" s="7">
        <v>1</v>
      </c>
      <c r="B32" s="7" t="s">
        <v>38</v>
      </c>
      <c r="C32" s="7" t="s">
        <v>39</v>
      </c>
      <c r="D32" s="7" t="s">
        <v>37</v>
      </c>
      <c r="E32" s="7" t="s">
        <v>21</v>
      </c>
      <c r="F32" s="7" t="s">
        <v>2</v>
      </c>
      <c r="G32" s="8" t="s">
        <v>42</v>
      </c>
      <c r="H32" s="9" t="s">
        <v>48</v>
      </c>
      <c r="I32" s="9" t="s">
        <v>48</v>
      </c>
      <c r="J32" s="9" t="s">
        <v>48</v>
      </c>
      <c r="K32" s="9" t="s">
        <v>48</v>
      </c>
    </row>
    <row r="33" spans="1:17" x14ac:dyDescent="0.2">
      <c r="A33" s="7">
        <v>3</v>
      </c>
      <c r="B33" s="7" t="s">
        <v>38</v>
      </c>
      <c r="C33" s="7" t="s">
        <v>39</v>
      </c>
      <c r="D33" s="7" t="s">
        <v>37</v>
      </c>
      <c r="E33" s="7" t="s">
        <v>25</v>
      </c>
      <c r="F33" s="7" t="s">
        <v>2</v>
      </c>
      <c r="G33" s="8" t="s">
        <v>42</v>
      </c>
      <c r="H33" s="9" t="s">
        <v>48</v>
      </c>
      <c r="I33" s="9" t="s">
        <v>48</v>
      </c>
      <c r="J33" s="9" t="s">
        <v>48</v>
      </c>
      <c r="K33" s="9" t="s">
        <v>48</v>
      </c>
    </row>
    <row r="34" spans="1:17" x14ac:dyDescent="0.2">
      <c r="A34" s="7">
        <v>4</v>
      </c>
      <c r="B34" s="7" t="s">
        <v>38</v>
      </c>
      <c r="C34" s="7" t="s">
        <v>39</v>
      </c>
      <c r="D34" s="7" t="s">
        <v>37</v>
      </c>
      <c r="E34" s="7" t="s">
        <v>10</v>
      </c>
      <c r="F34" s="7" t="s">
        <v>2</v>
      </c>
      <c r="G34" s="8" t="s">
        <v>42</v>
      </c>
      <c r="H34" s="9" t="s">
        <v>48</v>
      </c>
      <c r="I34" s="9" t="s">
        <v>48</v>
      </c>
      <c r="J34" s="9" t="s">
        <v>48</v>
      </c>
      <c r="K34" s="9" t="s">
        <v>48</v>
      </c>
    </row>
    <row r="35" spans="1:17" x14ac:dyDescent="0.2">
      <c r="A35" s="7">
        <v>5</v>
      </c>
      <c r="B35" s="7" t="s">
        <v>38</v>
      </c>
      <c r="C35" s="7" t="s">
        <v>39</v>
      </c>
      <c r="D35" s="7" t="s">
        <v>37</v>
      </c>
      <c r="E35" s="7" t="s">
        <v>15</v>
      </c>
      <c r="F35" s="7" t="s">
        <v>2</v>
      </c>
      <c r="G35" s="8" t="s">
        <v>42</v>
      </c>
      <c r="H35" s="9" t="s">
        <v>48</v>
      </c>
      <c r="I35" s="9" t="s">
        <v>48</v>
      </c>
      <c r="J35" s="9" t="s">
        <v>48</v>
      </c>
      <c r="K35" s="9" t="s">
        <v>48</v>
      </c>
    </row>
    <row r="36" spans="1:17" x14ac:dyDescent="0.2">
      <c r="A36" s="7">
        <v>6</v>
      </c>
      <c r="B36" s="7" t="s">
        <v>38</v>
      </c>
      <c r="C36" s="7" t="s">
        <v>39</v>
      </c>
      <c r="D36" s="7" t="s">
        <v>37</v>
      </c>
      <c r="E36" s="7" t="s">
        <v>8</v>
      </c>
      <c r="F36" s="7" t="s">
        <v>2</v>
      </c>
      <c r="G36" s="8" t="s">
        <v>42</v>
      </c>
      <c r="H36" s="9" t="s">
        <v>48</v>
      </c>
      <c r="I36" s="9" t="s">
        <v>48</v>
      </c>
      <c r="J36" s="9" t="s">
        <v>48</v>
      </c>
      <c r="K36" s="9" t="s">
        <v>48</v>
      </c>
    </row>
    <row r="37" spans="1:17" x14ac:dyDescent="0.2">
      <c r="A37" s="7">
        <v>7</v>
      </c>
      <c r="B37" s="7" t="s">
        <v>38</v>
      </c>
      <c r="C37" s="7" t="s">
        <v>39</v>
      </c>
      <c r="D37" s="7" t="s">
        <v>37</v>
      </c>
      <c r="E37" s="7" t="s">
        <v>13</v>
      </c>
      <c r="F37" s="7" t="s">
        <v>2</v>
      </c>
      <c r="G37" s="8" t="s">
        <v>42</v>
      </c>
      <c r="H37" s="9" t="s">
        <v>48</v>
      </c>
      <c r="I37" s="9" t="s">
        <v>48</v>
      </c>
      <c r="J37" s="9" t="s">
        <v>48</v>
      </c>
      <c r="K37" s="9" t="s">
        <v>48</v>
      </c>
    </row>
    <row r="38" spans="1:17" x14ac:dyDescent="0.2">
      <c r="A38" s="7">
        <v>8</v>
      </c>
      <c r="B38" s="7" t="s">
        <v>38</v>
      </c>
      <c r="C38" s="7" t="s">
        <v>39</v>
      </c>
      <c r="D38" s="7" t="s">
        <v>37</v>
      </c>
      <c r="E38" s="7" t="s">
        <v>14</v>
      </c>
      <c r="F38" s="7" t="s">
        <v>2</v>
      </c>
      <c r="G38" s="8" t="s">
        <v>42</v>
      </c>
      <c r="H38" s="9" t="s">
        <v>48</v>
      </c>
      <c r="I38" s="9" t="s">
        <v>48</v>
      </c>
      <c r="J38" s="9" t="s">
        <v>48</v>
      </c>
      <c r="K38" s="9" t="s">
        <v>48</v>
      </c>
    </row>
    <row r="39" spans="1:17" x14ac:dyDescent="0.2">
      <c r="A39" s="7">
        <v>1</v>
      </c>
      <c r="B39" s="7" t="s">
        <v>38</v>
      </c>
      <c r="C39" s="7" t="s">
        <v>40</v>
      </c>
      <c r="D39" s="7" t="s">
        <v>37</v>
      </c>
      <c r="E39" s="7" t="s">
        <v>20</v>
      </c>
      <c r="F39" s="7" t="s">
        <v>2</v>
      </c>
      <c r="G39" s="8" t="s">
        <v>42</v>
      </c>
      <c r="H39" s="9" t="s">
        <v>48</v>
      </c>
      <c r="I39" s="9" t="s">
        <v>48</v>
      </c>
      <c r="J39" s="9" t="s">
        <v>48</v>
      </c>
      <c r="K39" s="9" t="s">
        <v>48</v>
      </c>
    </row>
    <row r="40" spans="1:17" x14ac:dyDescent="0.2">
      <c r="A40" s="7">
        <v>2</v>
      </c>
      <c r="B40" s="7" t="s">
        <v>38</v>
      </c>
      <c r="C40" s="7" t="s">
        <v>40</v>
      </c>
      <c r="D40" s="7" t="s">
        <v>37</v>
      </c>
      <c r="E40" s="7" t="s">
        <v>22</v>
      </c>
      <c r="F40" s="7" t="s">
        <v>2</v>
      </c>
      <c r="G40" s="8" t="s">
        <v>42</v>
      </c>
      <c r="H40" s="9" t="s">
        <v>48</v>
      </c>
      <c r="I40" s="9" t="s">
        <v>48</v>
      </c>
      <c r="J40" s="9" t="s">
        <v>48</v>
      </c>
      <c r="K40" s="9" t="s">
        <v>48</v>
      </c>
    </row>
    <row r="41" spans="1:17" x14ac:dyDescent="0.2">
      <c r="A41" s="7">
        <v>6</v>
      </c>
      <c r="B41" s="7" t="s">
        <v>38</v>
      </c>
      <c r="C41" s="7" t="s">
        <v>40</v>
      </c>
      <c r="D41" s="7" t="s">
        <v>37</v>
      </c>
      <c r="E41" s="7" t="s">
        <v>12</v>
      </c>
      <c r="F41" s="7" t="s">
        <v>2</v>
      </c>
      <c r="G41" s="8" t="s">
        <v>42</v>
      </c>
      <c r="H41" s="9" t="s">
        <v>48</v>
      </c>
      <c r="I41" s="9" t="s">
        <v>48</v>
      </c>
      <c r="J41" s="9" t="s">
        <v>48</v>
      </c>
      <c r="K41" s="9" t="s">
        <v>48</v>
      </c>
    </row>
    <row r="42" spans="1:17" x14ac:dyDescent="0.2">
      <c r="A42" s="7">
        <v>1</v>
      </c>
      <c r="B42" s="7" t="s">
        <v>38</v>
      </c>
      <c r="C42" s="7" t="s">
        <v>39</v>
      </c>
      <c r="D42" s="7" t="s">
        <v>37</v>
      </c>
      <c r="E42" s="7" t="s">
        <v>21</v>
      </c>
      <c r="F42" s="7" t="s">
        <v>1</v>
      </c>
      <c r="G42" s="8">
        <v>4.7908971039519477</v>
      </c>
      <c r="H42" s="8">
        <f>Table8[[#This Row],[mM]]*O$1*O$3</f>
        <v>4.7908971039519473E-2</v>
      </c>
      <c r="I42" s="7">
        <v>4500</v>
      </c>
      <c r="J42" s="7">
        <f>Table8[[#This Row],[sCOD (mg/L, accouting for dilution)]]*O$1*O$3</f>
        <v>45</v>
      </c>
      <c r="K42" s="8">
        <f>Table8[[#This Row],[mM]]/Table8[[#This Row],[sCOD (mg/L, accouting for dilution)]]*1000</f>
        <v>1.0646438008782106</v>
      </c>
    </row>
    <row r="43" spans="1:17" x14ac:dyDescent="0.2">
      <c r="A43" s="7">
        <v>1</v>
      </c>
      <c r="B43" s="7" t="s">
        <v>38</v>
      </c>
      <c r="C43" s="7" t="s">
        <v>39</v>
      </c>
      <c r="D43" s="7" t="s">
        <v>37</v>
      </c>
      <c r="E43" s="7" t="s">
        <v>21</v>
      </c>
      <c r="F43" s="7" t="s">
        <v>27</v>
      </c>
      <c r="G43" s="8">
        <v>1.7261717866805237</v>
      </c>
      <c r="H43" s="8">
        <f>Table8[[#This Row],[mM]]*O$1*O$3</f>
        <v>1.7261717866805238E-2</v>
      </c>
      <c r="I43" s="7">
        <v>4500</v>
      </c>
      <c r="J43" s="7">
        <f>Table8[[#This Row],[sCOD (mg/L, accouting for dilution)]]*O$1*O$3</f>
        <v>45</v>
      </c>
      <c r="K43" s="8">
        <f>Table8[[#This Row],[mM]]/Table8[[#This Row],[sCOD (mg/L, accouting for dilution)]]*1000</f>
        <v>0.38359373037344968</v>
      </c>
    </row>
    <row r="44" spans="1:17" x14ac:dyDescent="0.2">
      <c r="A44" s="7">
        <v>1</v>
      </c>
      <c r="B44" s="7" t="s">
        <v>38</v>
      </c>
      <c r="C44" s="7" t="s">
        <v>39</v>
      </c>
      <c r="D44" s="7" t="s">
        <v>37</v>
      </c>
      <c r="E44" s="7" t="s">
        <v>21</v>
      </c>
      <c r="F44" s="7" t="s">
        <v>0</v>
      </c>
      <c r="G44" s="8">
        <v>6.8914673528862558</v>
      </c>
      <c r="H44" s="8">
        <f>Table8[[#This Row],[mM]]*O$1*O$3</f>
        <v>6.8914673528862561E-2</v>
      </c>
      <c r="I44" s="7">
        <v>4500</v>
      </c>
      <c r="J44" s="7">
        <f>Table8[[#This Row],[sCOD (mg/L, accouting for dilution)]]*O$1*O$3</f>
        <v>45</v>
      </c>
      <c r="K44" s="8">
        <f>Table8[[#This Row],[mM]]/Table8[[#This Row],[sCOD (mg/L, accouting for dilution)]]*1000</f>
        <v>1.5314371895302792</v>
      </c>
    </row>
    <row r="45" spans="1:17" x14ac:dyDescent="0.2">
      <c r="A45" s="7">
        <v>1</v>
      </c>
      <c r="B45" s="7" t="s">
        <v>38</v>
      </c>
      <c r="C45" s="7" t="s">
        <v>39</v>
      </c>
      <c r="D45" s="7" t="s">
        <v>37</v>
      </c>
      <c r="E45" s="7" t="s">
        <v>21</v>
      </c>
      <c r="F45" s="7" t="s">
        <v>3</v>
      </c>
      <c r="G45" s="8">
        <v>13.568243814850211</v>
      </c>
      <c r="H45" s="8">
        <f>Table8[[#This Row],[mM]]*O$1*O$3</f>
        <v>0.13568243814850212</v>
      </c>
      <c r="I45" s="7">
        <v>4500</v>
      </c>
      <c r="J45" s="7">
        <f>Table8[[#This Row],[sCOD (mg/L, accouting for dilution)]]*O$1*O$3</f>
        <v>45</v>
      </c>
      <c r="K45" s="8">
        <f>Table8[[#This Row],[mM]]/Table8[[#This Row],[sCOD (mg/L, accouting for dilution)]]*1000</f>
        <v>3.0151652921889358</v>
      </c>
      <c r="N45" s="5"/>
      <c r="Q45" s="5"/>
    </row>
    <row r="46" spans="1:17" x14ac:dyDescent="0.2">
      <c r="A46" s="7">
        <v>7</v>
      </c>
      <c r="B46" s="7" t="s">
        <v>38</v>
      </c>
      <c r="C46" s="7" t="s">
        <v>40</v>
      </c>
      <c r="D46" s="7" t="s">
        <v>37</v>
      </c>
      <c r="E46" s="7" t="s">
        <v>11</v>
      </c>
      <c r="F46" s="7" t="s">
        <v>2</v>
      </c>
      <c r="G46" s="8" t="s">
        <v>42</v>
      </c>
      <c r="H46" s="9" t="s">
        <v>48</v>
      </c>
      <c r="I46" s="9" t="s">
        <v>48</v>
      </c>
      <c r="J46" s="9" t="s">
        <v>48</v>
      </c>
      <c r="K46" s="9" t="s">
        <v>48</v>
      </c>
    </row>
    <row r="47" spans="1:17" x14ac:dyDescent="0.2">
      <c r="A47" s="7">
        <v>3</v>
      </c>
      <c r="B47" s="7" t="s">
        <v>38</v>
      </c>
      <c r="C47" s="7" t="s">
        <v>39</v>
      </c>
      <c r="D47" s="7" t="s">
        <v>37</v>
      </c>
      <c r="E47" s="7" t="s">
        <v>25</v>
      </c>
      <c r="F47" s="7" t="s">
        <v>1</v>
      </c>
      <c r="G47" s="8">
        <v>7.4343821472974003</v>
      </c>
      <c r="H47" s="8">
        <f>Table8[[#This Row],[mM]]*O$1*O$3</f>
        <v>7.4343821472974012E-2</v>
      </c>
      <c r="I47" s="7">
        <v>5200</v>
      </c>
      <c r="J47" s="7">
        <f>Table8[[#This Row],[sCOD (mg/L, accouting for dilution)]]*O$1*O$3</f>
        <v>52</v>
      </c>
      <c r="K47" s="8">
        <f>Table8[[#This Row],[mM]]/Table8[[#This Row],[sCOD (mg/L, accouting for dilution)]]*1000</f>
        <v>1.4296888744802694</v>
      </c>
    </row>
    <row r="48" spans="1:17" x14ac:dyDescent="0.2">
      <c r="A48" s="7">
        <v>3</v>
      </c>
      <c r="B48" s="7" t="s">
        <v>38</v>
      </c>
      <c r="C48" s="7" t="s">
        <v>39</v>
      </c>
      <c r="D48" s="7" t="s">
        <v>37</v>
      </c>
      <c r="E48" s="7" t="s">
        <v>25</v>
      </c>
      <c r="F48" s="7" t="s">
        <v>27</v>
      </c>
      <c r="G48" s="8">
        <v>1.9816993514299457</v>
      </c>
      <c r="H48" s="8">
        <f>Table8[[#This Row],[mM]]*O$1*O$3</f>
        <v>1.9816993514299459E-2</v>
      </c>
      <c r="I48" s="7">
        <v>5200</v>
      </c>
      <c r="J48" s="7">
        <f>Table8[[#This Row],[sCOD (mg/L, accouting for dilution)]]*O$1*O$3</f>
        <v>52</v>
      </c>
      <c r="K48" s="8">
        <f>Table8[[#This Row],[mM]]/Table8[[#This Row],[sCOD (mg/L, accouting for dilution)]]*1000</f>
        <v>0.38109602912114343</v>
      </c>
    </row>
    <row r="49" spans="1:11" x14ac:dyDescent="0.2">
      <c r="A49" s="7">
        <v>3</v>
      </c>
      <c r="B49" s="7" t="s">
        <v>38</v>
      </c>
      <c r="C49" s="7" t="s">
        <v>39</v>
      </c>
      <c r="D49" s="7" t="s">
        <v>37</v>
      </c>
      <c r="E49" s="7" t="s">
        <v>25</v>
      </c>
      <c r="F49" s="7" t="s">
        <v>0</v>
      </c>
      <c r="G49" s="8">
        <v>6.1074951276075007</v>
      </c>
      <c r="H49" s="8">
        <f>Table8[[#This Row],[mM]]*O$1*O$3</f>
        <v>6.1074951276075012E-2</v>
      </c>
      <c r="I49" s="7">
        <v>5200</v>
      </c>
      <c r="J49" s="7">
        <f>Table8[[#This Row],[sCOD (mg/L, accouting for dilution)]]*O$1*O$3</f>
        <v>52</v>
      </c>
      <c r="K49" s="8">
        <f>Table8[[#This Row],[mM]]/Table8[[#This Row],[sCOD (mg/L, accouting for dilution)]]*1000</f>
        <v>1.1745182937706733</v>
      </c>
    </row>
    <row r="50" spans="1:11" x14ac:dyDescent="0.2">
      <c r="A50" s="7">
        <v>3</v>
      </c>
      <c r="B50" s="7" t="s">
        <v>38</v>
      </c>
      <c r="C50" s="7" t="s">
        <v>39</v>
      </c>
      <c r="D50" s="7" t="s">
        <v>37</v>
      </c>
      <c r="E50" s="7" t="s">
        <v>25</v>
      </c>
      <c r="F50" s="7" t="s">
        <v>3</v>
      </c>
      <c r="G50" s="8">
        <v>14.407901669039632</v>
      </c>
      <c r="H50" s="8">
        <f>Table8[[#This Row],[mM]]*O$1*O$3</f>
        <v>0.14407901669039633</v>
      </c>
      <c r="I50" s="7">
        <v>5200</v>
      </c>
      <c r="J50" s="7">
        <f>Table8[[#This Row],[sCOD (mg/L, accouting for dilution)]]*O$1*O$3</f>
        <v>52</v>
      </c>
      <c r="K50" s="8">
        <f>Table8[[#This Row],[mM]]/Table8[[#This Row],[sCOD (mg/L, accouting for dilution)]]*1000</f>
        <v>2.7707503209691597</v>
      </c>
    </row>
    <row r="51" spans="1:11" x14ac:dyDescent="0.2">
      <c r="A51" s="7">
        <v>8</v>
      </c>
      <c r="B51" s="7" t="s">
        <v>38</v>
      </c>
      <c r="C51" s="7" t="s">
        <v>40</v>
      </c>
      <c r="D51" s="7" t="s">
        <v>37</v>
      </c>
      <c r="E51" s="7" t="s">
        <v>24</v>
      </c>
      <c r="F51" s="7" t="s">
        <v>2</v>
      </c>
      <c r="G51" s="8" t="s">
        <v>42</v>
      </c>
      <c r="H51" s="9" t="s">
        <v>48</v>
      </c>
      <c r="I51" s="9" t="s">
        <v>48</v>
      </c>
      <c r="J51" s="9" t="s">
        <v>48</v>
      </c>
      <c r="K51" s="9" t="s">
        <v>48</v>
      </c>
    </row>
    <row r="52" spans="1:11" x14ac:dyDescent="0.2">
      <c r="A52" s="7">
        <v>4</v>
      </c>
      <c r="B52" s="7" t="s">
        <v>38</v>
      </c>
      <c r="C52" s="7" t="s">
        <v>39</v>
      </c>
      <c r="D52" s="7" t="s">
        <v>37</v>
      </c>
      <c r="E52" s="7" t="s">
        <v>10</v>
      </c>
      <c r="F52" s="7" t="s">
        <v>1</v>
      </c>
      <c r="G52" s="8">
        <v>4.3695313421183135</v>
      </c>
      <c r="H52" s="8">
        <f>Table8[[#This Row],[mM]]*O$1*O$3</f>
        <v>4.3695313421183143E-2</v>
      </c>
      <c r="I52" s="7">
        <v>4880</v>
      </c>
      <c r="J52" s="7">
        <f>Table8[[#This Row],[sCOD (mg/L, accouting for dilution)]]*O$1*O$3</f>
        <v>48.8</v>
      </c>
      <c r="K52" s="8">
        <f>Table8[[#This Row],[mM]]/Table8[[#This Row],[sCOD (mg/L, accouting for dilution)]]*1000</f>
        <v>0.8953957668275232</v>
      </c>
    </row>
    <row r="53" spans="1:11" x14ac:dyDescent="0.2">
      <c r="A53" s="7">
        <v>4</v>
      </c>
      <c r="B53" s="7" t="s">
        <v>38</v>
      </c>
      <c r="C53" s="7" t="s">
        <v>39</v>
      </c>
      <c r="D53" s="7" t="s">
        <v>37</v>
      </c>
      <c r="E53" s="7" t="s">
        <v>10</v>
      </c>
      <c r="F53" s="7" t="s">
        <v>27</v>
      </c>
      <c r="G53" s="8">
        <v>1.3935355482680389</v>
      </c>
      <c r="H53" s="8">
        <f>Table8[[#This Row],[mM]]*O$1*O$3</f>
        <v>1.393535548268039E-2</v>
      </c>
      <c r="I53" s="7">
        <v>4880</v>
      </c>
      <c r="J53" s="7">
        <f>Table8[[#This Row],[sCOD (mg/L, accouting for dilution)]]*O$1*O$3</f>
        <v>48.8</v>
      </c>
      <c r="K53" s="8">
        <f>Table8[[#This Row],[mM]]/Table8[[#This Row],[sCOD (mg/L, accouting for dilution)]]*1000</f>
        <v>0.28556056316968015</v>
      </c>
    </row>
    <row r="54" spans="1:11" x14ac:dyDescent="0.2">
      <c r="A54" s="7">
        <v>4</v>
      </c>
      <c r="B54" s="7" t="s">
        <v>38</v>
      </c>
      <c r="C54" s="7" t="s">
        <v>39</v>
      </c>
      <c r="D54" s="7" t="s">
        <v>37</v>
      </c>
      <c r="E54" s="7" t="s">
        <v>10</v>
      </c>
      <c r="F54" s="7" t="s">
        <v>0</v>
      </c>
      <c r="G54" s="8">
        <v>8.0244481359034889</v>
      </c>
      <c r="H54" s="8">
        <f>Table8[[#This Row],[mM]]*O$1*O$3</f>
        <v>8.0244481359034892E-2</v>
      </c>
      <c r="I54" s="7">
        <v>4880</v>
      </c>
      <c r="J54" s="7">
        <f>Table8[[#This Row],[sCOD (mg/L, accouting for dilution)]]*O$1*O$3</f>
        <v>48.8</v>
      </c>
      <c r="K54" s="8">
        <f>Table8[[#This Row],[mM]]/Table8[[#This Row],[sCOD (mg/L, accouting for dilution)]]*1000</f>
        <v>1.6443541262097312</v>
      </c>
    </row>
    <row r="55" spans="1:11" x14ac:dyDescent="0.2">
      <c r="A55" s="7">
        <v>4</v>
      </c>
      <c r="B55" s="7" t="s">
        <v>38</v>
      </c>
      <c r="C55" s="7" t="s">
        <v>39</v>
      </c>
      <c r="D55" s="7" t="s">
        <v>37</v>
      </c>
      <c r="E55" s="7" t="s">
        <v>10</v>
      </c>
      <c r="F55" s="7" t="s">
        <v>3</v>
      </c>
      <c r="G55" s="8">
        <v>13.865579592662662</v>
      </c>
      <c r="H55" s="8">
        <f>Table8[[#This Row],[mM]]*O$1*O$3</f>
        <v>0.13865579592662663</v>
      </c>
      <c r="I55" s="7">
        <v>4880</v>
      </c>
      <c r="J55" s="7">
        <f>Table8[[#This Row],[sCOD (mg/L, accouting for dilution)]]*O$1*O$3</f>
        <v>48.8</v>
      </c>
      <c r="K55" s="8">
        <f>Table8[[#This Row],[mM]]/Table8[[#This Row],[sCOD (mg/L, accouting for dilution)]]*1000</f>
        <v>2.8413072935784145</v>
      </c>
    </row>
    <row r="56" spans="1:11" x14ac:dyDescent="0.2">
      <c r="A56" s="7">
        <v>5</v>
      </c>
      <c r="B56" s="7" t="s">
        <v>38</v>
      </c>
      <c r="C56" s="7" t="s">
        <v>39</v>
      </c>
      <c r="D56" s="7" t="s">
        <v>37</v>
      </c>
      <c r="E56" s="7" t="s">
        <v>15</v>
      </c>
      <c r="F56" s="7" t="s">
        <v>1</v>
      </c>
      <c r="G56" s="8">
        <v>7.270553113035457</v>
      </c>
      <c r="H56" s="8">
        <f>Table8[[#This Row],[mM]]*O$1*O$3</f>
        <v>7.2705531130354564E-2</v>
      </c>
      <c r="I56" s="7">
        <v>5740</v>
      </c>
      <c r="J56" s="7">
        <f>Table8[[#This Row],[sCOD (mg/L, accouting for dilution)]]*O$1*O$3</f>
        <v>57.400000000000006</v>
      </c>
      <c r="K56" s="8">
        <f>Table8[[#This Row],[mM]]/Table8[[#This Row],[sCOD (mg/L, accouting for dilution)]]*1000</f>
        <v>1.2666468838040865</v>
      </c>
    </row>
    <row r="57" spans="1:11" x14ac:dyDescent="0.2">
      <c r="A57" s="7">
        <v>5</v>
      </c>
      <c r="B57" s="7" t="s">
        <v>38</v>
      </c>
      <c r="C57" s="7" t="s">
        <v>39</v>
      </c>
      <c r="D57" s="7" t="s">
        <v>37</v>
      </c>
      <c r="E57" s="7" t="s">
        <v>15</v>
      </c>
      <c r="F57" s="7" t="s">
        <v>27</v>
      </c>
      <c r="G57" s="8">
        <v>2.0939107514831301</v>
      </c>
      <c r="H57" s="8">
        <f>Table8[[#This Row],[mM]]*O$1*O$3</f>
        <v>2.0939107514831301E-2</v>
      </c>
      <c r="I57" s="7">
        <v>5740</v>
      </c>
      <c r="J57" s="7">
        <f>Table8[[#This Row],[sCOD (mg/L, accouting for dilution)]]*O$1*O$3</f>
        <v>57.400000000000006</v>
      </c>
      <c r="K57" s="8">
        <f>Table8[[#This Row],[mM]]/Table8[[#This Row],[sCOD (mg/L, accouting for dilution)]]*1000</f>
        <v>0.36479281384723522</v>
      </c>
    </row>
    <row r="58" spans="1:11" x14ac:dyDescent="0.2">
      <c r="A58" s="7">
        <v>5</v>
      </c>
      <c r="B58" s="7" t="s">
        <v>38</v>
      </c>
      <c r="C58" s="7" t="s">
        <v>39</v>
      </c>
      <c r="D58" s="7" t="s">
        <v>37</v>
      </c>
      <c r="E58" s="7" t="s">
        <v>15</v>
      </c>
      <c r="F58" s="7" t="s">
        <v>0</v>
      </c>
      <c r="G58" s="8">
        <v>8.2823061713081518</v>
      </c>
      <c r="H58" s="8">
        <f>Table8[[#This Row],[mM]]*O$1*O$3</f>
        <v>8.2823061713081514E-2</v>
      </c>
      <c r="I58" s="7">
        <v>5740</v>
      </c>
      <c r="J58" s="7">
        <f>Table8[[#This Row],[sCOD (mg/L, accouting for dilution)]]*O$1*O$3</f>
        <v>57.400000000000006</v>
      </c>
      <c r="K58" s="8">
        <f>Table8[[#This Row],[mM]]/Table8[[#This Row],[sCOD (mg/L, accouting for dilution)]]*1000</f>
        <v>1.4429104828062982</v>
      </c>
    </row>
    <row r="59" spans="1:11" x14ac:dyDescent="0.2">
      <c r="A59" s="7">
        <v>5</v>
      </c>
      <c r="B59" s="7" t="s">
        <v>38</v>
      </c>
      <c r="C59" s="7" t="s">
        <v>39</v>
      </c>
      <c r="D59" s="7" t="s">
        <v>37</v>
      </c>
      <c r="E59" s="7" t="s">
        <v>15</v>
      </c>
      <c r="F59" s="7" t="s">
        <v>3</v>
      </c>
      <c r="G59" s="8">
        <v>11.038041840575753</v>
      </c>
      <c r="H59" s="8">
        <f>Table8[[#This Row],[mM]]*O$1*O$3</f>
        <v>0.11038041840575753</v>
      </c>
      <c r="I59" s="7">
        <v>5740</v>
      </c>
      <c r="J59" s="7">
        <f>Table8[[#This Row],[sCOD (mg/L, accouting for dilution)]]*O$1*O$3</f>
        <v>57.400000000000006</v>
      </c>
      <c r="K59" s="8">
        <f>Table8[[#This Row],[mM]]/Table8[[#This Row],[sCOD (mg/L, accouting for dilution)]]*1000</f>
        <v>1.9230038049783542</v>
      </c>
    </row>
    <row r="60" spans="1:11" x14ac:dyDescent="0.2">
      <c r="A60" s="7">
        <v>9</v>
      </c>
      <c r="B60" s="7" t="s">
        <v>38</v>
      </c>
      <c r="C60" s="7" t="s">
        <v>40</v>
      </c>
      <c r="D60" s="7" t="s">
        <v>37</v>
      </c>
      <c r="E60" s="7" t="s">
        <v>17</v>
      </c>
      <c r="F60" s="7" t="s">
        <v>2</v>
      </c>
      <c r="G60" s="8" t="s">
        <v>42</v>
      </c>
      <c r="H60" s="9" t="s">
        <v>48</v>
      </c>
      <c r="I60" s="9" t="s">
        <v>48</v>
      </c>
      <c r="J60" s="9" t="s">
        <v>48</v>
      </c>
      <c r="K60" s="9" t="s">
        <v>48</v>
      </c>
    </row>
    <row r="61" spans="1:11" x14ac:dyDescent="0.2">
      <c r="A61" s="7">
        <v>6</v>
      </c>
      <c r="B61" s="7" t="s">
        <v>38</v>
      </c>
      <c r="C61" s="7" t="s">
        <v>39</v>
      </c>
      <c r="D61" s="7" t="s">
        <v>37</v>
      </c>
      <c r="E61" s="7" t="s">
        <v>8</v>
      </c>
      <c r="F61" s="7" t="s">
        <v>1</v>
      </c>
      <c r="G61" s="8">
        <v>4.8482309328095523</v>
      </c>
      <c r="H61" s="8">
        <f>Table8[[#This Row],[mM]]*O$1*O$3</f>
        <v>4.8482309328095524E-2</v>
      </c>
      <c r="I61" s="7">
        <v>4640</v>
      </c>
      <c r="J61" s="7">
        <f>Table8[[#This Row],[sCOD (mg/L, accouting for dilution)]]*O$1*O$3</f>
        <v>46.4</v>
      </c>
      <c r="K61" s="8">
        <f>Table8[[#This Row],[mM]]/Table8[[#This Row],[sCOD (mg/L, accouting for dilution)]]*1000</f>
        <v>1.0448773562089553</v>
      </c>
    </row>
    <row r="62" spans="1:11" x14ac:dyDescent="0.2">
      <c r="A62" s="7">
        <v>6</v>
      </c>
      <c r="B62" s="7" t="s">
        <v>38</v>
      </c>
      <c r="C62" s="7" t="s">
        <v>39</v>
      </c>
      <c r="D62" s="7" t="s">
        <v>37</v>
      </c>
      <c r="E62" s="7" t="s">
        <v>8</v>
      </c>
      <c r="F62" s="7" t="s">
        <v>27</v>
      </c>
      <c r="G62" s="8">
        <v>1.8841141082816049</v>
      </c>
      <c r="H62" s="8">
        <f>Table8[[#This Row],[mM]]*O$1*O$3</f>
        <v>1.8841141082816048E-2</v>
      </c>
      <c r="I62" s="7">
        <v>4640</v>
      </c>
      <c r="J62" s="7">
        <f>Table8[[#This Row],[sCOD (mg/L, accouting for dilution)]]*O$1*O$3</f>
        <v>46.4</v>
      </c>
      <c r="K62" s="8">
        <f>Table8[[#This Row],[mM]]/Table8[[#This Row],[sCOD (mg/L, accouting for dilution)]]*1000</f>
        <v>0.40605907506069067</v>
      </c>
    </row>
    <row r="63" spans="1:11" x14ac:dyDescent="0.2">
      <c r="A63" s="7">
        <v>6</v>
      </c>
      <c r="B63" s="7" t="s">
        <v>38</v>
      </c>
      <c r="C63" s="7" t="s">
        <v>39</v>
      </c>
      <c r="D63" s="7" t="s">
        <v>37</v>
      </c>
      <c r="E63" s="7" t="s">
        <v>8</v>
      </c>
      <c r="F63" s="7" t="s">
        <v>0</v>
      </c>
      <c r="G63" s="8">
        <v>12.484836397647246</v>
      </c>
      <c r="H63" s="8">
        <f>Table8[[#This Row],[mM]]*O$1*O$3</f>
        <v>0.12484836397647246</v>
      </c>
      <c r="I63" s="7">
        <v>4640</v>
      </c>
      <c r="J63" s="7">
        <f>Table8[[#This Row],[sCOD (mg/L, accouting for dilution)]]*O$1*O$3</f>
        <v>46.4</v>
      </c>
      <c r="K63" s="8">
        <f>Table8[[#This Row],[mM]]/Table8[[#This Row],[sCOD (mg/L, accouting for dilution)]]*1000</f>
        <v>2.6906974994929409</v>
      </c>
    </row>
    <row r="64" spans="1:11" x14ac:dyDescent="0.2">
      <c r="A64" s="7">
        <v>6</v>
      </c>
      <c r="B64" s="7" t="s">
        <v>38</v>
      </c>
      <c r="C64" s="7" t="s">
        <v>39</v>
      </c>
      <c r="D64" s="7" t="s">
        <v>37</v>
      </c>
      <c r="E64" s="7" t="s">
        <v>8</v>
      </c>
      <c r="F64" s="7" t="s">
        <v>3</v>
      </c>
      <c r="G64" s="8">
        <v>13.63813606841941</v>
      </c>
      <c r="H64" s="8">
        <f>Table8[[#This Row],[mM]]*O$1*O$3</f>
        <v>0.1363813606841941</v>
      </c>
      <c r="I64" s="7">
        <v>4640</v>
      </c>
      <c r="J64" s="7">
        <f>Table8[[#This Row],[sCOD (mg/L, accouting for dilution)]]*O$1*O$3</f>
        <v>46.4</v>
      </c>
      <c r="K64" s="8">
        <f>Table8[[#This Row],[mM]]/Table8[[#This Row],[sCOD (mg/L, accouting for dilution)]]*1000</f>
        <v>2.9392534630214247</v>
      </c>
    </row>
    <row r="65" spans="1:11" x14ac:dyDescent="0.2">
      <c r="A65" s="7">
        <v>7</v>
      </c>
      <c r="B65" s="7" t="s">
        <v>38</v>
      </c>
      <c r="C65" s="7" t="s">
        <v>39</v>
      </c>
      <c r="D65" s="7" t="s">
        <v>37</v>
      </c>
      <c r="E65" s="7" t="s">
        <v>13</v>
      </c>
      <c r="F65" s="7" t="s">
        <v>1</v>
      </c>
      <c r="G65" s="8">
        <v>6.3408659652525383</v>
      </c>
      <c r="H65" s="8">
        <f>Table8[[#This Row],[mM]]*O$1*O$3</f>
        <v>6.3408659652525387E-2</v>
      </c>
      <c r="I65" s="7">
        <v>5220</v>
      </c>
      <c r="J65" s="7">
        <f>Table8[[#This Row],[sCOD (mg/L, accouting for dilution)]]*O$1*O$3</f>
        <v>52.199999999999996</v>
      </c>
      <c r="K65" s="8">
        <f>Table8[[#This Row],[mM]]/Table8[[#This Row],[sCOD (mg/L, accouting for dilution)]]*1000</f>
        <v>1.21472528069972</v>
      </c>
    </row>
    <row r="66" spans="1:11" x14ac:dyDescent="0.2">
      <c r="A66" s="7">
        <v>7</v>
      </c>
      <c r="B66" s="7" t="s">
        <v>38</v>
      </c>
      <c r="C66" s="7" t="s">
        <v>39</v>
      </c>
      <c r="D66" s="7" t="s">
        <v>37</v>
      </c>
      <c r="E66" s="7" t="s">
        <v>13</v>
      </c>
      <c r="F66" s="7" t="s">
        <v>27</v>
      </c>
      <c r="G66" s="8">
        <v>1.5303047808777737</v>
      </c>
      <c r="H66" s="8">
        <f>Table8[[#This Row],[mM]]*O$1*O$3</f>
        <v>1.5303047808777736E-2</v>
      </c>
      <c r="I66" s="7">
        <v>5220</v>
      </c>
      <c r="J66" s="7">
        <f>Table8[[#This Row],[sCOD (mg/L, accouting for dilution)]]*O$1*O$3</f>
        <v>52.199999999999996</v>
      </c>
      <c r="K66" s="8">
        <f>Table8[[#This Row],[mM]]/Table8[[#This Row],[sCOD (mg/L, accouting for dilution)]]*1000</f>
        <v>0.29316183541719804</v>
      </c>
    </row>
    <row r="67" spans="1:11" x14ac:dyDescent="0.2">
      <c r="A67" s="7">
        <v>7</v>
      </c>
      <c r="B67" s="7" t="s">
        <v>38</v>
      </c>
      <c r="C67" s="7" t="s">
        <v>39</v>
      </c>
      <c r="D67" s="7" t="s">
        <v>37</v>
      </c>
      <c r="E67" s="7" t="s">
        <v>13</v>
      </c>
      <c r="F67" s="7" t="s">
        <v>0</v>
      </c>
      <c r="G67" s="8">
        <v>6.7437638377614162</v>
      </c>
      <c r="H67" s="8">
        <f>Table8[[#This Row],[mM]]*O$1*O$3</f>
        <v>6.743763837761417E-2</v>
      </c>
      <c r="I67" s="7">
        <v>5220</v>
      </c>
      <c r="J67" s="7">
        <f>Table8[[#This Row],[sCOD (mg/L, accouting for dilution)]]*O$1*O$3</f>
        <v>52.199999999999996</v>
      </c>
      <c r="K67" s="8">
        <f>Table8[[#This Row],[mM]]/Table8[[#This Row],[sCOD (mg/L, accouting for dilution)]]*1000</f>
        <v>1.2919087811803478</v>
      </c>
    </row>
    <row r="68" spans="1:11" x14ac:dyDescent="0.2">
      <c r="A68" s="7">
        <v>7</v>
      </c>
      <c r="B68" s="7" t="s">
        <v>38</v>
      </c>
      <c r="C68" s="7" t="s">
        <v>39</v>
      </c>
      <c r="D68" s="7" t="s">
        <v>37</v>
      </c>
      <c r="E68" s="7" t="s">
        <v>13</v>
      </c>
      <c r="F68" s="7" t="s">
        <v>3</v>
      </c>
      <c r="G68" s="8">
        <v>16.028699814226087</v>
      </c>
      <c r="H68" s="8">
        <f>Table8[[#This Row],[mM]]*O$1*O$3</f>
        <v>0.16028699814226086</v>
      </c>
      <c r="I68" s="7">
        <v>5220</v>
      </c>
      <c r="J68" s="7">
        <f>Table8[[#This Row],[sCOD (mg/L, accouting for dilution)]]*O$1*O$3</f>
        <v>52.199999999999996</v>
      </c>
      <c r="K68" s="8">
        <f>Table8[[#This Row],[mM]]/Table8[[#This Row],[sCOD (mg/L, accouting for dilution)]]*1000</f>
        <v>3.0706321483191736</v>
      </c>
    </row>
    <row r="69" spans="1:11" x14ac:dyDescent="0.2">
      <c r="A69" s="7">
        <v>8</v>
      </c>
      <c r="B69" s="7" t="s">
        <v>38</v>
      </c>
      <c r="C69" s="7" t="s">
        <v>39</v>
      </c>
      <c r="D69" s="7" t="s">
        <v>37</v>
      </c>
      <c r="E69" s="7" t="s">
        <v>14</v>
      </c>
      <c r="F69" s="7" t="s">
        <v>1</v>
      </c>
      <c r="G69" s="8">
        <v>5.9375374433851684</v>
      </c>
      <c r="H69" s="8">
        <f>Table8[[#This Row],[mM]]*O$1*O$3</f>
        <v>5.9375374433851685E-2</v>
      </c>
      <c r="I69" s="7">
        <v>5600</v>
      </c>
      <c r="J69" s="7">
        <f>Table8[[#This Row],[sCOD (mg/L, accouting for dilution)]]*O$1*O$3</f>
        <v>56.000000000000007</v>
      </c>
      <c r="K69" s="8">
        <f>Table8[[#This Row],[mM]]/Table8[[#This Row],[sCOD (mg/L, accouting for dilution)]]*1000</f>
        <v>1.0602745434616372</v>
      </c>
    </row>
    <row r="70" spans="1:11" x14ac:dyDescent="0.2">
      <c r="A70" s="7">
        <v>8</v>
      </c>
      <c r="B70" s="7" t="s">
        <v>38</v>
      </c>
      <c r="C70" s="7" t="s">
        <v>39</v>
      </c>
      <c r="D70" s="7" t="s">
        <v>37</v>
      </c>
      <c r="E70" s="7" t="s">
        <v>14</v>
      </c>
      <c r="F70" s="7" t="s">
        <v>27</v>
      </c>
      <c r="G70" s="8">
        <v>1.4404668117889479</v>
      </c>
      <c r="H70" s="8">
        <f>Table8[[#This Row],[mM]]*O$1*O$3</f>
        <v>1.440466811788948E-2</v>
      </c>
      <c r="I70" s="7">
        <v>5600</v>
      </c>
      <c r="J70" s="7">
        <f>Table8[[#This Row],[sCOD (mg/L, accouting for dilution)]]*O$1*O$3</f>
        <v>56.000000000000007</v>
      </c>
      <c r="K70" s="8">
        <f>Table8[[#This Row],[mM]]/Table8[[#This Row],[sCOD (mg/L, accouting for dilution)]]*1000</f>
        <v>0.25722621639088356</v>
      </c>
    </row>
    <row r="71" spans="1:11" x14ac:dyDescent="0.2">
      <c r="A71" s="7">
        <v>8</v>
      </c>
      <c r="B71" s="7" t="s">
        <v>38</v>
      </c>
      <c r="C71" s="7" t="s">
        <v>39</v>
      </c>
      <c r="D71" s="7" t="s">
        <v>37</v>
      </c>
      <c r="E71" s="7" t="s">
        <v>14</v>
      </c>
      <c r="F71" s="7" t="s">
        <v>0</v>
      </c>
      <c r="G71" s="8">
        <v>13.522546589908769</v>
      </c>
      <c r="H71" s="8">
        <f>Table8[[#This Row],[mM]]*O$1*O$3</f>
        <v>0.13522546589908768</v>
      </c>
      <c r="I71" s="7">
        <v>5600</v>
      </c>
      <c r="J71" s="7">
        <f>Table8[[#This Row],[sCOD (mg/L, accouting for dilution)]]*O$1*O$3</f>
        <v>56.000000000000007</v>
      </c>
      <c r="K71" s="8">
        <f>Table8[[#This Row],[mM]]/Table8[[#This Row],[sCOD (mg/L, accouting for dilution)]]*1000</f>
        <v>2.4147404624837088</v>
      </c>
    </row>
    <row r="72" spans="1:11" x14ac:dyDescent="0.2">
      <c r="A72" s="7">
        <v>8</v>
      </c>
      <c r="B72" s="7" t="s">
        <v>38</v>
      </c>
      <c r="C72" s="7" t="s">
        <v>39</v>
      </c>
      <c r="D72" s="7" t="s">
        <v>37</v>
      </c>
      <c r="E72" s="7" t="s">
        <v>14</v>
      </c>
      <c r="F72" s="7" t="s">
        <v>3</v>
      </c>
      <c r="G72" s="8">
        <v>10.630953633318381</v>
      </c>
      <c r="H72" s="8">
        <f>Table8[[#This Row],[mM]]*O$1*O$3</f>
        <v>0.10630953633318381</v>
      </c>
      <c r="I72" s="7">
        <v>5600</v>
      </c>
      <c r="J72" s="7">
        <f>Table8[[#This Row],[sCOD (mg/L, accouting for dilution)]]*O$1*O$3</f>
        <v>56.000000000000007</v>
      </c>
      <c r="K72" s="8">
        <f>Table8[[#This Row],[mM]]/Table8[[#This Row],[sCOD (mg/L, accouting for dilution)]]*1000</f>
        <v>1.8983845773782824</v>
      </c>
    </row>
    <row r="73" spans="1:11" x14ac:dyDescent="0.2">
      <c r="A73" s="7">
        <v>1</v>
      </c>
      <c r="B73" s="7" t="s">
        <v>38</v>
      </c>
      <c r="C73" s="7" t="s">
        <v>40</v>
      </c>
      <c r="D73" s="7" t="s">
        <v>37</v>
      </c>
      <c r="E73" s="7" t="s">
        <v>20</v>
      </c>
      <c r="F73" s="7" t="s">
        <v>1</v>
      </c>
      <c r="G73" s="8">
        <v>5.1209167202759129</v>
      </c>
      <c r="H73" s="8">
        <f>Table8[[#This Row],[mM]]*O$1*O$3</f>
        <v>5.1209167202759129E-2</v>
      </c>
      <c r="I73" s="7">
        <v>4640</v>
      </c>
      <c r="J73" s="7">
        <f>Table8[[#This Row],[sCOD (mg/L, accouting for dilution)]]*O$1*O$3</f>
        <v>46.4</v>
      </c>
      <c r="K73" s="8">
        <f>Table8[[#This Row],[mM]]/Table8[[#This Row],[sCOD (mg/L, accouting for dilution)]]*1000</f>
        <v>1.1036458448870501</v>
      </c>
    </row>
    <row r="74" spans="1:11" x14ac:dyDescent="0.2">
      <c r="A74" s="7">
        <v>1</v>
      </c>
      <c r="B74" s="7" t="s">
        <v>38</v>
      </c>
      <c r="C74" s="7" t="s">
        <v>40</v>
      </c>
      <c r="D74" s="7" t="s">
        <v>37</v>
      </c>
      <c r="E74" s="7" t="s">
        <v>20</v>
      </c>
      <c r="F74" s="7" t="s">
        <v>27</v>
      </c>
      <c r="G74" s="8">
        <v>1.3246499949336712</v>
      </c>
      <c r="H74" s="8">
        <f>Table8[[#This Row],[mM]]*O$1*O$3</f>
        <v>1.3246499949336712E-2</v>
      </c>
      <c r="I74" s="7">
        <v>4640</v>
      </c>
      <c r="J74" s="7">
        <f>Table8[[#This Row],[sCOD (mg/L, accouting for dilution)]]*O$1*O$3</f>
        <v>46.4</v>
      </c>
      <c r="K74" s="8">
        <f>Table8[[#This Row],[mM]]/Table8[[#This Row],[sCOD (mg/L, accouting for dilution)]]*1000</f>
        <v>0.28548491270122223</v>
      </c>
    </row>
    <row r="75" spans="1:11" x14ac:dyDescent="0.2">
      <c r="A75" s="7">
        <v>1</v>
      </c>
      <c r="B75" s="7" t="s">
        <v>38</v>
      </c>
      <c r="C75" s="7" t="s">
        <v>40</v>
      </c>
      <c r="D75" s="7" t="s">
        <v>37</v>
      </c>
      <c r="E75" s="7" t="s">
        <v>20</v>
      </c>
      <c r="F75" s="7" t="s">
        <v>0</v>
      </c>
      <c r="G75" s="8">
        <v>4.9329572963348269</v>
      </c>
      <c r="H75" s="8">
        <f>Table8[[#This Row],[mM]]*O$1*O$3</f>
        <v>4.9329572963348271E-2</v>
      </c>
      <c r="I75" s="7">
        <v>4640</v>
      </c>
      <c r="J75" s="7">
        <f>Table8[[#This Row],[sCOD (mg/L, accouting for dilution)]]*O$1*O$3</f>
        <v>46.4</v>
      </c>
      <c r="K75" s="8">
        <f>Table8[[#This Row],[mM]]/Table8[[#This Row],[sCOD (mg/L, accouting for dilution)]]*1000</f>
        <v>1.0631373483480229</v>
      </c>
    </row>
    <row r="76" spans="1:11" x14ac:dyDescent="0.2">
      <c r="A76" s="7">
        <v>1</v>
      </c>
      <c r="B76" s="7" t="s">
        <v>38</v>
      </c>
      <c r="C76" s="7" t="s">
        <v>40</v>
      </c>
      <c r="D76" s="7" t="s">
        <v>37</v>
      </c>
      <c r="E76" s="7" t="s">
        <v>20</v>
      </c>
      <c r="F76" s="7" t="s">
        <v>3</v>
      </c>
      <c r="G76" s="8">
        <v>9.1277132560169285</v>
      </c>
      <c r="H76" s="8">
        <f>Table8[[#This Row],[mM]]*O$1*O$3</f>
        <v>9.1277132560169283E-2</v>
      </c>
      <c r="I76" s="7">
        <v>4640</v>
      </c>
      <c r="J76" s="7">
        <f>Table8[[#This Row],[sCOD (mg/L, accouting for dilution)]]*O$1*O$3</f>
        <v>46.4</v>
      </c>
      <c r="K76" s="8">
        <f>Table8[[#This Row],[mM]]/Table8[[#This Row],[sCOD (mg/L, accouting for dilution)]]*1000</f>
        <v>1.9671795810381312</v>
      </c>
    </row>
    <row r="77" spans="1:11" x14ac:dyDescent="0.2">
      <c r="A77" s="7">
        <v>2</v>
      </c>
      <c r="B77" s="7" t="s">
        <v>38</v>
      </c>
      <c r="C77" s="7" t="s">
        <v>40</v>
      </c>
      <c r="D77" s="7" t="s">
        <v>37</v>
      </c>
      <c r="E77" s="7" t="s">
        <v>22</v>
      </c>
      <c r="F77" s="7" t="s">
        <v>1</v>
      </c>
      <c r="G77" s="8">
        <v>5.8735196180579701</v>
      </c>
      <c r="H77" s="8">
        <f>Table8[[#This Row],[mM]]*O$1*O$3</f>
        <v>5.87351961805797E-2</v>
      </c>
      <c r="I77" s="7">
        <v>5240</v>
      </c>
      <c r="J77" s="7">
        <f>Table8[[#This Row],[sCOD (mg/L, accouting for dilution)]]*O$1*O$3</f>
        <v>52.400000000000006</v>
      </c>
      <c r="K77" s="8">
        <f>Table8[[#This Row],[mM]]/Table8[[#This Row],[sCOD (mg/L, accouting for dilution)]]*1000</f>
        <v>1.1209006904690781</v>
      </c>
    </row>
    <row r="78" spans="1:11" x14ac:dyDescent="0.2">
      <c r="A78" s="7">
        <v>2</v>
      </c>
      <c r="B78" s="7" t="s">
        <v>38</v>
      </c>
      <c r="C78" s="7" t="s">
        <v>40</v>
      </c>
      <c r="D78" s="7" t="s">
        <v>37</v>
      </c>
      <c r="E78" s="7" t="s">
        <v>22</v>
      </c>
      <c r="F78" s="7" t="s">
        <v>27</v>
      </c>
      <c r="G78" s="8">
        <v>1.9181714281435926</v>
      </c>
      <c r="H78" s="8">
        <f>Table8[[#This Row],[mM]]*O$1*O$3</f>
        <v>1.9181714281435926E-2</v>
      </c>
      <c r="I78" s="7">
        <v>5240</v>
      </c>
      <c r="J78" s="7">
        <f>Table8[[#This Row],[sCOD (mg/L, accouting for dilution)]]*O$1*O$3</f>
        <v>52.400000000000006</v>
      </c>
      <c r="K78" s="8">
        <f>Table8[[#This Row],[mM]]/Table8[[#This Row],[sCOD (mg/L, accouting for dilution)]]*1000</f>
        <v>0.36606324964572379</v>
      </c>
    </row>
    <row r="79" spans="1:11" x14ac:dyDescent="0.2">
      <c r="A79" s="7">
        <v>2</v>
      </c>
      <c r="B79" s="7" t="s">
        <v>38</v>
      </c>
      <c r="C79" s="7" t="s">
        <v>40</v>
      </c>
      <c r="D79" s="7" t="s">
        <v>37</v>
      </c>
      <c r="E79" s="7" t="s">
        <v>22</v>
      </c>
      <c r="F79" s="7" t="s">
        <v>0</v>
      </c>
      <c r="G79" s="8">
        <v>7.5537574107047583</v>
      </c>
      <c r="H79" s="8">
        <f>Table8[[#This Row],[mM]]*O$1*O$3</f>
        <v>7.5537574107047589E-2</v>
      </c>
      <c r="I79" s="7">
        <v>5240</v>
      </c>
      <c r="J79" s="7">
        <f>Table8[[#This Row],[sCOD (mg/L, accouting for dilution)]]*O$1*O$3</f>
        <v>52.400000000000006</v>
      </c>
      <c r="K79" s="8">
        <f>Table8[[#This Row],[mM]]/Table8[[#This Row],[sCOD (mg/L, accouting for dilution)]]*1000</f>
        <v>1.4415567577680837</v>
      </c>
    </row>
    <row r="80" spans="1:11" x14ac:dyDescent="0.2">
      <c r="A80" s="7">
        <v>2</v>
      </c>
      <c r="B80" s="7" t="s">
        <v>38</v>
      </c>
      <c r="C80" s="7" t="s">
        <v>40</v>
      </c>
      <c r="D80" s="7" t="s">
        <v>37</v>
      </c>
      <c r="E80" s="7" t="s">
        <v>22</v>
      </c>
      <c r="F80" s="7" t="s">
        <v>3</v>
      </c>
      <c r="G80" s="8">
        <v>11.744413922316275</v>
      </c>
      <c r="H80" s="8">
        <f>Table8[[#This Row],[mM]]*O$1*O$3</f>
        <v>0.11744413922316274</v>
      </c>
      <c r="I80" s="7">
        <v>5240</v>
      </c>
      <c r="J80" s="7">
        <f>Table8[[#This Row],[sCOD (mg/L, accouting for dilution)]]*O$1*O$3</f>
        <v>52.400000000000006</v>
      </c>
      <c r="K80" s="8">
        <f>Table8[[#This Row],[mM]]/Table8[[#This Row],[sCOD (mg/L, accouting for dilution)]]*1000</f>
        <v>2.2413003668542508</v>
      </c>
    </row>
    <row r="81" spans="1:17" x14ac:dyDescent="0.2">
      <c r="A81" s="7">
        <v>4</v>
      </c>
      <c r="B81" s="7" t="s">
        <v>38</v>
      </c>
      <c r="C81" s="7" t="s">
        <v>40</v>
      </c>
      <c r="D81" s="7" t="s">
        <v>37</v>
      </c>
      <c r="E81" s="7" t="s">
        <v>7</v>
      </c>
      <c r="F81" s="7" t="s">
        <v>1</v>
      </c>
      <c r="G81" s="8">
        <v>5.3185663838164885</v>
      </c>
      <c r="H81" s="8">
        <f>Table8[[#This Row],[mM]]*O$1*O$3</f>
        <v>5.3185663838164886E-2</v>
      </c>
      <c r="I81" s="7">
        <v>5980</v>
      </c>
      <c r="J81" s="7">
        <f>Table8[[#This Row],[sCOD (mg/L, accouting for dilution)]]*O$1*O$3</f>
        <v>59.800000000000004</v>
      </c>
      <c r="K81" s="8">
        <f>Table8[[#This Row],[mM]]/Table8[[#This Row],[sCOD (mg/L, accouting for dilution)]]*1000</f>
        <v>0.889392371875667</v>
      </c>
    </row>
    <row r="82" spans="1:17" x14ac:dyDescent="0.2">
      <c r="A82" s="7">
        <v>4</v>
      </c>
      <c r="B82" s="7" t="s">
        <v>38</v>
      </c>
      <c r="C82" s="7" t="s">
        <v>40</v>
      </c>
      <c r="D82" s="7" t="s">
        <v>37</v>
      </c>
      <c r="E82" s="7" t="s">
        <v>7</v>
      </c>
      <c r="F82" s="7" t="s">
        <v>27</v>
      </c>
      <c r="G82" s="8">
        <v>1.8793185112644317</v>
      </c>
      <c r="H82" s="8">
        <f>Table8[[#This Row],[mM]]*O$1*O$3</f>
        <v>1.8793185112644318E-2</v>
      </c>
      <c r="I82" s="7">
        <v>5980</v>
      </c>
      <c r="J82" s="7">
        <f>Table8[[#This Row],[sCOD (mg/L, accouting for dilution)]]*O$1*O$3</f>
        <v>59.800000000000004</v>
      </c>
      <c r="K82" s="8">
        <f>Table8[[#This Row],[mM]]/Table8[[#This Row],[sCOD (mg/L, accouting for dilution)]]*1000</f>
        <v>0.31426730957599192</v>
      </c>
    </row>
    <row r="83" spans="1:17" x14ac:dyDescent="0.2">
      <c r="A83" s="7">
        <v>4</v>
      </c>
      <c r="B83" s="7" t="s">
        <v>38</v>
      </c>
      <c r="C83" s="7" t="s">
        <v>40</v>
      </c>
      <c r="D83" s="7" t="s">
        <v>37</v>
      </c>
      <c r="E83" s="7" t="s">
        <v>7</v>
      </c>
      <c r="F83" s="7" t="s">
        <v>0</v>
      </c>
      <c r="G83" s="8">
        <v>19.726664199210415</v>
      </c>
      <c r="H83" s="8">
        <f>Table8[[#This Row],[mM]]*O$1*O$3</f>
        <v>0.19726664199210417</v>
      </c>
      <c r="I83" s="7">
        <v>5980</v>
      </c>
      <c r="J83" s="7">
        <f>Table8[[#This Row],[sCOD (mg/L, accouting for dilution)]]*O$1*O$3</f>
        <v>59.800000000000004</v>
      </c>
      <c r="K83" s="8">
        <f>Table8[[#This Row],[mM]]/Table8[[#This Row],[sCOD (mg/L, accouting for dilution)]]*1000</f>
        <v>3.2987732774599356</v>
      </c>
    </row>
    <row r="84" spans="1:17" x14ac:dyDescent="0.2">
      <c r="A84" s="7">
        <v>4</v>
      </c>
      <c r="B84" s="7" t="s">
        <v>38</v>
      </c>
      <c r="C84" s="7" t="s">
        <v>40</v>
      </c>
      <c r="D84" s="7" t="s">
        <v>37</v>
      </c>
      <c r="E84" s="7" t="s">
        <v>7</v>
      </c>
      <c r="F84" s="7" t="s">
        <v>3</v>
      </c>
      <c r="G84" s="8">
        <v>11.620506745884693</v>
      </c>
      <c r="H84" s="8">
        <f>Table8[[#This Row],[mM]]*O$1*O$3</f>
        <v>0.11620506745884693</v>
      </c>
      <c r="I84" s="7">
        <v>5980</v>
      </c>
      <c r="J84" s="7">
        <f>Table8[[#This Row],[sCOD (mg/L, accouting for dilution)]]*O$1*O$3</f>
        <v>59.800000000000004</v>
      </c>
      <c r="K84" s="8">
        <f>Table8[[#This Row],[mM]]/Table8[[#This Row],[sCOD (mg/L, accouting for dilution)]]*1000</f>
        <v>1.9432285528235274</v>
      </c>
    </row>
    <row r="85" spans="1:17" x14ac:dyDescent="0.2">
      <c r="A85" s="7">
        <v>6</v>
      </c>
      <c r="B85" s="7" t="s">
        <v>38</v>
      </c>
      <c r="C85" s="7" t="s">
        <v>40</v>
      </c>
      <c r="D85" s="7" t="s">
        <v>37</v>
      </c>
      <c r="E85" s="7" t="s">
        <v>12</v>
      </c>
      <c r="F85" s="7" t="s">
        <v>1</v>
      </c>
      <c r="G85" s="8">
        <v>6.1517633233426503</v>
      </c>
      <c r="H85" s="8">
        <f>Table8[[#This Row],[mM]]*O$1*O$3</f>
        <v>6.1517633233426502E-2</v>
      </c>
      <c r="I85" s="7">
        <v>4380</v>
      </c>
      <c r="J85" s="7">
        <f>Table8[[#This Row],[sCOD (mg/L, accouting for dilution)]]*O$1*O$3</f>
        <v>43.8</v>
      </c>
      <c r="K85" s="8">
        <f>Table8[[#This Row],[mM]]/Table8[[#This Row],[sCOD (mg/L, accouting for dilution)]]*1000</f>
        <v>1.404512174279144</v>
      </c>
    </row>
    <row r="86" spans="1:17" x14ac:dyDescent="0.2">
      <c r="A86" s="7">
        <v>6</v>
      </c>
      <c r="B86" s="7" t="s">
        <v>38</v>
      </c>
      <c r="C86" s="7" t="s">
        <v>40</v>
      </c>
      <c r="D86" s="7" t="s">
        <v>37</v>
      </c>
      <c r="E86" s="7" t="s">
        <v>12</v>
      </c>
      <c r="F86" s="7" t="s">
        <v>27</v>
      </c>
      <c r="G86" s="8">
        <v>1.2923611973118199</v>
      </c>
      <c r="H86" s="8">
        <f>Table8[[#This Row],[mM]]*O$1*O$3</f>
        <v>1.29236119731182E-2</v>
      </c>
      <c r="I86" s="7">
        <v>4380</v>
      </c>
      <c r="J86" s="7">
        <f>Table8[[#This Row],[sCOD (mg/L, accouting for dilution)]]*O$1*O$3</f>
        <v>43.8</v>
      </c>
      <c r="K86" s="8">
        <f>Table8[[#This Row],[mM]]/Table8[[#This Row],[sCOD (mg/L, accouting for dilution)]]*1000</f>
        <v>0.29505963408945657</v>
      </c>
    </row>
    <row r="87" spans="1:17" x14ac:dyDescent="0.2">
      <c r="A87" s="7">
        <v>6</v>
      </c>
      <c r="B87" s="7" t="s">
        <v>38</v>
      </c>
      <c r="C87" s="7" t="s">
        <v>40</v>
      </c>
      <c r="D87" s="7" t="s">
        <v>37</v>
      </c>
      <c r="E87" s="7" t="s">
        <v>12</v>
      </c>
      <c r="F87" s="7" t="s">
        <v>0</v>
      </c>
      <c r="G87" s="8">
        <v>18.211293864036492</v>
      </c>
      <c r="H87" s="8">
        <f>Table8[[#This Row],[mM]]*O$1*O$3</f>
        <v>0.18211293864036493</v>
      </c>
      <c r="I87" s="7">
        <v>4380</v>
      </c>
      <c r="J87" s="7">
        <f>Table8[[#This Row],[sCOD (mg/L, accouting for dilution)]]*O$1*O$3</f>
        <v>43.8</v>
      </c>
      <c r="K87" s="8">
        <f>Table8[[#This Row],[mM]]/Table8[[#This Row],[sCOD (mg/L, accouting for dilution)]]*1000</f>
        <v>4.1578296493233999</v>
      </c>
      <c r="N87" s="5"/>
      <c r="Q87" s="5"/>
    </row>
    <row r="88" spans="1:17" x14ac:dyDescent="0.2">
      <c r="A88" s="7">
        <v>6</v>
      </c>
      <c r="B88" s="7" t="s">
        <v>38</v>
      </c>
      <c r="C88" s="7" t="s">
        <v>40</v>
      </c>
      <c r="D88" s="7" t="s">
        <v>37</v>
      </c>
      <c r="E88" s="7" t="s">
        <v>12</v>
      </c>
      <c r="F88" s="7" t="s">
        <v>3</v>
      </c>
      <c r="G88" s="8">
        <v>13.529303213742393</v>
      </c>
      <c r="H88" s="8">
        <f>Table8[[#This Row],[mM]]*O$1*O$3</f>
        <v>0.13529303213742394</v>
      </c>
      <c r="I88" s="7">
        <v>4380</v>
      </c>
      <c r="J88" s="7">
        <f>Table8[[#This Row],[sCOD (mg/L, accouting for dilution)]]*O$1*O$3</f>
        <v>43.8</v>
      </c>
      <c r="K88" s="8">
        <f>Table8[[#This Row],[mM]]/Table8[[#This Row],[sCOD (mg/L, accouting for dilution)]]*1000</f>
        <v>3.0888820122699525</v>
      </c>
    </row>
    <row r="89" spans="1:17" x14ac:dyDescent="0.2">
      <c r="A89" s="7">
        <v>7</v>
      </c>
      <c r="B89" s="7" t="s">
        <v>38</v>
      </c>
      <c r="C89" s="7" t="s">
        <v>40</v>
      </c>
      <c r="D89" s="7" t="s">
        <v>37</v>
      </c>
      <c r="E89" s="7" t="s">
        <v>11</v>
      </c>
      <c r="F89" s="7" t="s">
        <v>1</v>
      </c>
      <c r="G89" s="8">
        <v>5.1802690239490348</v>
      </c>
      <c r="H89" s="8">
        <f>Table8[[#This Row],[mM]]*O$1*O$3</f>
        <v>5.180269023949035E-2</v>
      </c>
      <c r="I89" s="7">
        <v>5120</v>
      </c>
      <c r="J89" s="7">
        <f>Table8[[#This Row],[sCOD (mg/L, accouting for dilution)]]*O$1*O$3</f>
        <v>51.2</v>
      </c>
      <c r="K89" s="8">
        <f>Table8[[#This Row],[mM]]/Table8[[#This Row],[sCOD (mg/L, accouting for dilution)]]*1000</f>
        <v>1.0117712937400458</v>
      </c>
    </row>
    <row r="90" spans="1:17" x14ac:dyDescent="0.2">
      <c r="A90" s="7">
        <v>7</v>
      </c>
      <c r="B90" s="7" t="s">
        <v>38</v>
      </c>
      <c r="C90" s="7" t="s">
        <v>40</v>
      </c>
      <c r="D90" s="7" t="s">
        <v>37</v>
      </c>
      <c r="E90" s="7" t="s">
        <v>11</v>
      </c>
      <c r="F90" s="7" t="s">
        <v>27</v>
      </c>
      <c r="G90" s="8">
        <v>1.4423890149359526</v>
      </c>
      <c r="H90" s="8">
        <f>Table8[[#This Row],[mM]]*O$1*O$3</f>
        <v>1.4423890149359526E-2</v>
      </c>
      <c r="I90" s="7">
        <v>5120</v>
      </c>
      <c r="J90" s="7">
        <f>Table8[[#This Row],[sCOD (mg/L, accouting for dilution)]]*O$1*O$3</f>
        <v>51.2</v>
      </c>
      <c r="K90" s="8">
        <f>Table8[[#This Row],[mM]]/Table8[[#This Row],[sCOD (mg/L, accouting for dilution)]]*1000</f>
        <v>0.28171660447967822</v>
      </c>
    </row>
    <row r="91" spans="1:17" x14ac:dyDescent="0.2">
      <c r="A91" s="7">
        <v>7</v>
      </c>
      <c r="B91" s="7" t="s">
        <v>38</v>
      </c>
      <c r="C91" s="7" t="s">
        <v>40</v>
      </c>
      <c r="D91" s="7" t="s">
        <v>37</v>
      </c>
      <c r="E91" s="7" t="s">
        <v>11</v>
      </c>
      <c r="F91" s="7" t="s">
        <v>0</v>
      </c>
      <c r="G91" s="8">
        <v>4.7254122360822119</v>
      </c>
      <c r="H91" s="8">
        <f>Table8[[#This Row],[mM]]*O$1*O$3</f>
        <v>4.7254122360822118E-2</v>
      </c>
      <c r="I91" s="7">
        <v>5120</v>
      </c>
      <c r="J91" s="7">
        <f>Table8[[#This Row],[sCOD (mg/L, accouting for dilution)]]*O$1*O$3</f>
        <v>51.2</v>
      </c>
      <c r="K91" s="8">
        <f>Table8[[#This Row],[mM]]/Table8[[#This Row],[sCOD (mg/L, accouting for dilution)]]*1000</f>
        <v>0.92293207735980709</v>
      </c>
    </row>
    <row r="92" spans="1:17" x14ac:dyDescent="0.2">
      <c r="A92" s="7">
        <v>7</v>
      </c>
      <c r="B92" s="7" t="s">
        <v>38</v>
      </c>
      <c r="C92" s="7" t="s">
        <v>40</v>
      </c>
      <c r="D92" s="7" t="s">
        <v>37</v>
      </c>
      <c r="E92" s="7" t="s">
        <v>11</v>
      </c>
      <c r="F92" s="7" t="s">
        <v>3</v>
      </c>
      <c r="G92" s="8">
        <v>13.623578293220472</v>
      </c>
      <c r="H92" s="8">
        <f>Table8[[#This Row],[mM]]*O$1*O$3</f>
        <v>0.13623578293220473</v>
      </c>
      <c r="I92" s="7">
        <v>5120</v>
      </c>
      <c r="J92" s="7">
        <f>Table8[[#This Row],[sCOD (mg/L, accouting for dilution)]]*O$1*O$3</f>
        <v>51.2</v>
      </c>
      <c r="K92" s="8">
        <f>Table8[[#This Row],[mM]]/Table8[[#This Row],[sCOD (mg/L, accouting for dilution)]]*1000</f>
        <v>2.6608551353946237</v>
      </c>
    </row>
    <row r="93" spans="1:17" x14ac:dyDescent="0.2">
      <c r="A93" s="7">
        <v>8</v>
      </c>
      <c r="B93" s="7" t="s">
        <v>38</v>
      </c>
      <c r="C93" s="7" t="s">
        <v>40</v>
      </c>
      <c r="D93" s="7" t="s">
        <v>37</v>
      </c>
      <c r="E93" s="7" t="s">
        <v>24</v>
      </c>
      <c r="F93" s="7" t="s">
        <v>1</v>
      </c>
      <c r="G93" s="8">
        <v>7.8305166352669655</v>
      </c>
      <c r="H93" s="8">
        <f>Table8[[#This Row],[mM]]*O$1*O$3</f>
        <v>7.8305166352669653E-2</v>
      </c>
      <c r="I93" s="7">
        <v>4560</v>
      </c>
      <c r="J93" s="7">
        <f>Table8[[#This Row],[sCOD (mg/L, accouting for dilution)]]*O$1*O$3</f>
        <v>45.600000000000009</v>
      </c>
      <c r="K93" s="8">
        <f>Table8[[#This Row],[mM]]/Table8[[#This Row],[sCOD (mg/L, accouting for dilution)]]*1000</f>
        <v>1.7172185603655628</v>
      </c>
    </row>
    <row r="94" spans="1:17" x14ac:dyDescent="0.2">
      <c r="A94" s="7">
        <v>8</v>
      </c>
      <c r="B94" s="7" t="s">
        <v>38</v>
      </c>
      <c r="C94" s="7" t="s">
        <v>40</v>
      </c>
      <c r="D94" s="7" t="s">
        <v>37</v>
      </c>
      <c r="E94" s="7" t="s">
        <v>24</v>
      </c>
      <c r="F94" s="7" t="s">
        <v>27</v>
      </c>
      <c r="G94" s="8">
        <v>2.2574957341692961</v>
      </c>
      <c r="H94" s="8">
        <f>Table8[[#This Row],[mM]]*O$1*O$3</f>
        <v>2.2574957341692962E-2</v>
      </c>
      <c r="I94" s="7">
        <v>4560</v>
      </c>
      <c r="J94" s="7">
        <f>Table8[[#This Row],[sCOD (mg/L, accouting for dilution)]]*O$1*O$3</f>
        <v>45.600000000000009</v>
      </c>
      <c r="K94" s="8">
        <f>Table8[[#This Row],[mM]]/Table8[[#This Row],[sCOD (mg/L, accouting for dilution)]]*1000</f>
        <v>0.49506485398449479</v>
      </c>
    </row>
    <row r="95" spans="1:17" x14ac:dyDescent="0.2">
      <c r="A95" s="7">
        <v>8</v>
      </c>
      <c r="B95" s="7" t="s">
        <v>38</v>
      </c>
      <c r="C95" s="7" t="s">
        <v>40</v>
      </c>
      <c r="D95" s="7" t="s">
        <v>37</v>
      </c>
      <c r="E95" s="7" t="s">
        <v>24</v>
      </c>
      <c r="F95" s="7" t="s">
        <v>0</v>
      </c>
      <c r="G95" s="8">
        <v>8.2864059207279652</v>
      </c>
      <c r="H95" s="8">
        <f>Table8[[#This Row],[mM]]*O$1*O$3</f>
        <v>8.2864059207279656E-2</v>
      </c>
      <c r="I95" s="7">
        <v>4560</v>
      </c>
      <c r="J95" s="7">
        <f>Table8[[#This Row],[sCOD (mg/L, accouting for dilution)]]*O$1*O$3</f>
        <v>45.600000000000009</v>
      </c>
      <c r="K95" s="8">
        <f>Table8[[#This Row],[mM]]/Table8[[#This Row],[sCOD (mg/L, accouting for dilution)]]*1000</f>
        <v>1.8171942808613959</v>
      </c>
    </row>
    <row r="96" spans="1:17" x14ac:dyDescent="0.2">
      <c r="A96" s="7">
        <v>8</v>
      </c>
      <c r="B96" s="7" t="s">
        <v>38</v>
      </c>
      <c r="C96" s="7" t="s">
        <v>40</v>
      </c>
      <c r="D96" s="7" t="s">
        <v>37</v>
      </c>
      <c r="E96" s="7" t="s">
        <v>24</v>
      </c>
      <c r="F96" s="7" t="s">
        <v>3</v>
      </c>
      <c r="G96" s="8">
        <v>10.853558533410048</v>
      </c>
      <c r="H96" s="8">
        <f>Table8[[#This Row],[mM]]*O$1*O$3</f>
        <v>0.10853558533410049</v>
      </c>
      <c r="I96" s="7">
        <v>4560</v>
      </c>
      <c r="J96" s="7">
        <f>Table8[[#This Row],[sCOD (mg/L, accouting for dilution)]]*O$1*O$3</f>
        <v>45.600000000000009</v>
      </c>
      <c r="K96" s="8">
        <f>Table8[[#This Row],[mM]]/Table8[[#This Row],[sCOD (mg/L, accouting for dilution)]]*1000</f>
        <v>2.3801663450460633</v>
      </c>
    </row>
    <row r="97" spans="1:11" x14ac:dyDescent="0.2">
      <c r="A97" s="7">
        <v>9</v>
      </c>
      <c r="B97" s="7" t="s">
        <v>38</v>
      </c>
      <c r="C97" s="7" t="s">
        <v>40</v>
      </c>
      <c r="D97" s="7" t="s">
        <v>37</v>
      </c>
      <c r="E97" s="7" t="s">
        <v>17</v>
      </c>
      <c r="F97" s="7" t="s">
        <v>1</v>
      </c>
      <c r="G97" s="8">
        <v>4.2896739082137527</v>
      </c>
      <c r="H97" s="8">
        <f>Table8[[#This Row],[mM]]*O$1*O$3</f>
        <v>4.2896739082137522E-2</v>
      </c>
      <c r="I97" s="7">
        <v>4280</v>
      </c>
      <c r="J97" s="7">
        <f>Table8[[#This Row],[sCOD (mg/L, accouting for dilution)]]*O$1*O$3</f>
        <v>42.800000000000004</v>
      </c>
      <c r="K97" s="8">
        <f>Table8[[#This Row],[mM]]/Table8[[#This Row],[sCOD (mg/L, accouting for dilution)]]*1000</f>
        <v>1.0022602589284468</v>
      </c>
    </row>
    <row r="98" spans="1:11" x14ac:dyDescent="0.2">
      <c r="A98" s="7">
        <v>9</v>
      </c>
      <c r="B98" s="7" t="s">
        <v>38</v>
      </c>
      <c r="C98" s="7" t="s">
        <v>40</v>
      </c>
      <c r="D98" s="7" t="s">
        <v>37</v>
      </c>
      <c r="E98" s="7" t="s">
        <v>17</v>
      </c>
      <c r="F98" s="7" t="s">
        <v>27</v>
      </c>
      <c r="G98" s="8">
        <v>1.9251623412337031</v>
      </c>
      <c r="H98" s="8">
        <f>Table8[[#This Row],[mM]]*O$1*O$3</f>
        <v>1.9251623412337032E-2</v>
      </c>
      <c r="I98" s="7">
        <v>4280</v>
      </c>
      <c r="J98" s="7">
        <f>Table8[[#This Row],[sCOD (mg/L, accouting for dilution)]]*O$1*O$3</f>
        <v>42.800000000000004</v>
      </c>
      <c r="K98" s="8">
        <f>Table8[[#This Row],[mM]]/Table8[[#This Row],[sCOD (mg/L, accouting for dilution)]]*1000</f>
        <v>0.44980428533497735</v>
      </c>
    </row>
    <row r="99" spans="1:11" x14ac:dyDescent="0.2">
      <c r="A99" s="7">
        <v>9</v>
      </c>
      <c r="B99" s="7" t="s">
        <v>38</v>
      </c>
      <c r="C99" s="7" t="s">
        <v>40</v>
      </c>
      <c r="D99" s="7" t="s">
        <v>37</v>
      </c>
      <c r="E99" s="7" t="s">
        <v>17</v>
      </c>
      <c r="F99" s="7" t="s">
        <v>0</v>
      </c>
      <c r="G99" s="8">
        <v>5.5660031001587171</v>
      </c>
      <c r="H99" s="8">
        <f>Table8[[#This Row],[mM]]*O$1*O$3</f>
        <v>5.5660031001587174E-2</v>
      </c>
      <c r="I99" s="7">
        <v>4280</v>
      </c>
      <c r="J99" s="7">
        <f>Table8[[#This Row],[sCOD (mg/L, accouting for dilution)]]*O$1*O$3</f>
        <v>42.800000000000004</v>
      </c>
      <c r="K99" s="8">
        <f>Table8[[#This Row],[mM]]/Table8[[#This Row],[sCOD (mg/L, accouting for dilution)]]*1000</f>
        <v>1.3004680140557749</v>
      </c>
    </row>
    <row r="100" spans="1:11" x14ac:dyDescent="0.2">
      <c r="A100" s="7">
        <v>9</v>
      </c>
      <c r="B100" s="7" t="s">
        <v>38</v>
      </c>
      <c r="C100" s="7" t="s">
        <v>40</v>
      </c>
      <c r="D100" s="7" t="s">
        <v>37</v>
      </c>
      <c r="E100" s="7" t="s">
        <v>17</v>
      </c>
      <c r="F100" s="7" t="s">
        <v>3</v>
      </c>
      <c r="G100" s="8">
        <v>12.621062757206662</v>
      </c>
      <c r="H100" s="8">
        <f>Table8[[#This Row],[mM]]*O$1*O$3</f>
        <v>0.12621062757206664</v>
      </c>
      <c r="I100" s="7">
        <v>4280</v>
      </c>
      <c r="J100" s="7">
        <f>Table8[[#This Row],[sCOD (mg/L, accouting for dilution)]]*O$1*O$3</f>
        <v>42.800000000000004</v>
      </c>
      <c r="K100" s="8">
        <f>Table8[[#This Row],[mM]]/Table8[[#This Row],[sCOD (mg/L, accouting for dilution)]]*1000</f>
        <v>2.9488464385996878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Results</vt:lpstr>
    </vt:vector>
  </TitlesOfParts>
  <Company>Arizona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Dirks (Student)</dc:creator>
  <cp:lastModifiedBy>Moiseyenko, Anastasiya (Ana)</cp:lastModifiedBy>
  <dcterms:created xsi:type="dcterms:W3CDTF">2025-06-25T16:52:12Z</dcterms:created>
  <dcterms:modified xsi:type="dcterms:W3CDTF">2025-08-22T20:33:40Z</dcterms:modified>
</cp:coreProperties>
</file>