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ehavior data/"/>
    </mc:Choice>
  </mc:AlternateContent>
  <xr:revisionPtr revIDLastSave="131" documentId="13_ncr:1_{05E175B3-CFDA-3D4D-85F3-9C6F7C234B6B}" xr6:coauthVersionLast="47" xr6:coauthVersionMax="47" xr10:uidLastSave="{AF79DF56-88E5-DC44-9871-BEAF7CFA960F}"/>
  <bookViews>
    <workbookView xWindow="3380" yWindow="1260" windowWidth="27840" windowHeight="22320" activeTab="1" xr2:uid="{8FAD2B0A-511F-8C4E-B0A9-D9067B35B2EF}"/>
  </bookViews>
  <sheets>
    <sheet name="Beam_time" sheetId="4" r:id="rId1"/>
    <sheet name="Beam_steps" sheetId="8" r:id="rId2"/>
    <sheet name="Pole" sheetId="3" r:id="rId3"/>
    <sheet name="Wirehang" sheetId="7" r:id="rId4"/>
    <sheet name="Adhesive_removal" sheetId="6" r:id="rId5"/>
    <sheet name="Hindlimb" sheetId="5" r:id="rId6"/>
    <sheet name="Fecal_output" sheetId="9" r:id="rId7"/>
    <sheet name="Fecal_score" sheetId="13" r:id="rId8"/>
    <sheet name="Water_content" sheetId="10" r:id="rId9"/>
    <sheet name="Gut_transit" sheetId="11" r:id="rId10"/>
    <sheet name="Bead_exp" sheetId="12" r:id="rId11"/>
    <sheet name="Weight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0" l="1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G3" i="8"/>
  <c r="G4" i="8"/>
  <c r="G5" i="8"/>
  <c r="G6" i="8"/>
  <c r="G7" i="8"/>
  <c r="G8" i="8"/>
  <c r="G10" i="8"/>
  <c r="G11" i="8"/>
  <c r="G12" i="8"/>
  <c r="G13" i="8"/>
  <c r="G14" i="8"/>
  <c r="G16" i="8"/>
  <c r="G17" i="8"/>
  <c r="G18" i="8"/>
  <c r="G19" i="8"/>
  <c r="G20" i="8"/>
  <c r="G21" i="8"/>
  <c r="G22" i="8"/>
  <c r="G23" i="8"/>
  <c r="G24" i="8"/>
  <c r="G25" i="8"/>
  <c r="G27" i="8"/>
  <c r="G28" i="8"/>
  <c r="G29" i="8"/>
  <c r="G30" i="8"/>
  <c r="G31" i="8"/>
  <c r="G32" i="8"/>
  <c r="G33" i="8"/>
  <c r="G2" i="8"/>
</calcChain>
</file>

<file path=xl/sharedStrings.xml><?xml version="1.0" encoding="utf-8"?>
<sst xmlns="http://schemas.openxmlformats.org/spreadsheetml/2006/main" count="850" uniqueCount="26">
  <si>
    <t>Genotype</t>
  </si>
  <si>
    <t>WT</t>
  </si>
  <si>
    <t>max</t>
  </si>
  <si>
    <t>ID</t>
  </si>
  <si>
    <t>Cohort</t>
  </si>
  <si>
    <t>Cage</t>
  </si>
  <si>
    <t>Microbiome</t>
  </si>
  <si>
    <t>SPF</t>
  </si>
  <si>
    <t>ASO</t>
  </si>
  <si>
    <t>Fpr</t>
  </si>
  <si>
    <t>Weight</t>
  </si>
  <si>
    <t>Trial1</t>
  </si>
  <si>
    <t>Steps_Trial1</t>
  </si>
  <si>
    <t>Slips_Trial1</t>
  </si>
  <si>
    <t>Trial15</t>
  </si>
  <si>
    <t>SPF-Fp</t>
  </si>
  <si>
    <t>Tube_weight_mg</t>
  </si>
  <si>
    <t xml:space="preserve">Tube_ wet_pellet </t>
  </si>
  <si>
    <t>Tube_dry_pellet</t>
  </si>
  <si>
    <t>Wet_pellet</t>
  </si>
  <si>
    <t>Dry_pellet</t>
  </si>
  <si>
    <t>Percent_water_content</t>
  </si>
  <si>
    <t>Start_time</t>
  </si>
  <si>
    <t>End_time</t>
  </si>
  <si>
    <t>Time_min</t>
  </si>
  <si>
    <t>Slips_Step_Trial1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</si>
</sst>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quotePrefix="1"/>
    <xf numFmtId="20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E33"/>
  <sheetViews>
    <sheetView workbookViewId="0">
      <selection activeCell="H46" sqref="H46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14.88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4.59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3.05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3.97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3.77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4.24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8.2200000000000006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60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24.5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5.6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>
        <v>3.32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>
        <v>7.56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>
        <v>6.21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>
        <v>11.36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>
        <v>3.72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>
        <v>6.62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4.7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3.48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4.92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4.59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3.95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16.07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5.8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60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8.16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6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>
        <v>7.26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>
        <v>5.37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>
        <v>7.29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>
        <v>14.77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13.23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G33"/>
  <sheetViews>
    <sheetView tabSelected="1" workbookViewId="0">
      <selection activeCell="B32" sqref="B32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5</v>
      </c>
      <c r="D1" t="s">
        <v>3</v>
      </c>
      <c r="E1" t="s">
        <v>12</v>
      </c>
      <c r="F1" t="s">
        <v>13</v>
      </c>
      <c r="G1" t="s">
        <v>25</v>
      </c>
    </row>
    <row r="2" spans="1:7" x14ac:dyDescent="0.2">
      <c r="A2" t="s">
        <v>1</v>
      </c>
      <c r="B2" t="s">
        <v>7</v>
      </c>
      <c r="C2">
        <v>1</v>
      </c>
      <c r="D2">
        <v>1787</v>
      </c>
      <c r="E2">
        <v>15</v>
      </c>
      <c r="F2">
        <v>7</v>
      </c>
      <c r="G2">
        <f>F2/E2</f>
        <v>0.46666666666666667</v>
      </c>
    </row>
    <row r="3" spans="1:7" x14ac:dyDescent="0.2">
      <c r="A3" t="s">
        <v>1</v>
      </c>
      <c r="B3" t="s">
        <v>7</v>
      </c>
      <c r="C3">
        <v>1</v>
      </c>
      <c r="D3">
        <v>1788</v>
      </c>
      <c r="E3">
        <v>10</v>
      </c>
      <c r="F3">
        <v>3</v>
      </c>
      <c r="G3">
        <f t="shared" ref="G3:G33" si="0">F3/E3</f>
        <v>0.3</v>
      </c>
    </row>
    <row r="4" spans="1:7" x14ac:dyDescent="0.2">
      <c r="A4" t="s">
        <v>1</v>
      </c>
      <c r="B4" t="s">
        <v>7</v>
      </c>
      <c r="C4">
        <v>1</v>
      </c>
      <c r="D4">
        <v>1789</v>
      </c>
      <c r="E4">
        <v>9</v>
      </c>
      <c r="F4">
        <v>0</v>
      </c>
      <c r="G4">
        <f t="shared" si="0"/>
        <v>0</v>
      </c>
    </row>
    <row r="5" spans="1:7" x14ac:dyDescent="0.2">
      <c r="A5" t="s">
        <v>1</v>
      </c>
      <c r="B5" t="s">
        <v>7</v>
      </c>
      <c r="C5">
        <v>2</v>
      </c>
      <c r="D5">
        <v>1814</v>
      </c>
      <c r="E5">
        <v>8</v>
      </c>
      <c r="F5">
        <v>4</v>
      </c>
      <c r="G5">
        <f t="shared" si="0"/>
        <v>0.5</v>
      </c>
    </row>
    <row r="6" spans="1:7" x14ac:dyDescent="0.2">
      <c r="A6" t="s">
        <v>1</v>
      </c>
      <c r="B6" t="s">
        <v>7</v>
      </c>
      <c r="C6">
        <v>2</v>
      </c>
      <c r="D6">
        <v>1816</v>
      </c>
      <c r="E6">
        <v>8</v>
      </c>
      <c r="F6">
        <v>2</v>
      </c>
      <c r="G6">
        <f t="shared" si="0"/>
        <v>0.25</v>
      </c>
    </row>
    <row r="7" spans="1:7" x14ac:dyDescent="0.2">
      <c r="A7" t="s">
        <v>1</v>
      </c>
      <c r="B7" t="s">
        <v>7</v>
      </c>
      <c r="C7">
        <v>2</v>
      </c>
      <c r="D7">
        <v>1817</v>
      </c>
      <c r="E7">
        <v>11</v>
      </c>
      <c r="F7">
        <v>0</v>
      </c>
      <c r="G7">
        <f t="shared" si="0"/>
        <v>0</v>
      </c>
    </row>
    <row r="8" spans="1:7" x14ac:dyDescent="0.2">
      <c r="A8" t="s">
        <v>8</v>
      </c>
      <c r="B8" t="s">
        <v>7</v>
      </c>
      <c r="C8">
        <v>3</v>
      </c>
      <c r="D8">
        <v>1798</v>
      </c>
      <c r="E8">
        <v>10</v>
      </c>
      <c r="F8">
        <v>6</v>
      </c>
      <c r="G8">
        <f t="shared" si="0"/>
        <v>0.6</v>
      </c>
    </row>
    <row r="9" spans="1:7" x14ac:dyDescent="0.2">
      <c r="A9" t="s">
        <v>8</v>
      </c>
      <c r="B9" t="s">
        <v>7</v>
      </c>
      <c r="C9">
        <v>3</v>
      </c>
      <c r="D9">
        <v>1802</v>
      </c>
    </row>
    <row r="10" spans="1:7" x14ac:dyDescent="0.2">
      <c r="A10" t="s">
        <v>8</v>
      </c>
      <c r="B10" t="s">
        <v>7</v>
      </c>
      <c r="C10">
        <v>4</v>
      </c>
      <c r="D10">
        <v>1810</v>
      </c>
      <c r="E10">
        <v>12</v>
      </c>
      <c r="F10">
        <v>15</v>
      </c>
      <c r="G10">
        <f t="shared" si="0"/>
        <v>1.25</v>
      </c>
    </row>
    <row r="11" spans="1:7" x14ac:dyDescent="0.2">
      <c r="A11" t="s">
        <v>8</v>
      </c>
      <c r="B11" t="s">
        <v>7</v>
      </c>
      <c r="C11">
        <v>4</v>
      </c>
      <c r="D11">
        <v>1813</v>
      </c>
      <c r="E11">
        <v>10</v>
      </c>
      <c r="F11">
        <v>4</v>
      </c>
      <c r="G11">
        <f t="shared" si="0"/>
        <v>0.4</v>
      </c>
    </row>
    <row r="12" spans="1:7" x14ac:dyDescent="0.2">
      <c r="A12" t="s">
        <v>8</v>
      </c>
      <c r="B12" t="s">
        <v>15</v>
      </c>
      <c r="C12">
        <v>5</v>
      </c>
      <c r="D12">
        <v>1790</v>
      </c>
      <c r="E12">
        <v>11</v>
      </c>
      <c r="F12">
        <v>4</v>
      </c>
      <c r="G12">
        <f t="shared" si="0"/>
        <v>0.36363636363636365</v>
      </c>
    </row>
    <row r="13" spans="1:7" x14ac:dyDescent="0.2">
      <c r="A13" t="s">
        <v>8</v>
      </c>
      <c r="B13" t="s">
        <v>15</v>
      </c>
      <c r="C13">
        <v>5</v>
      </c>
      <c r="D13">
        <v>1791</v>
      </c>
      <c r="E13">
        <v>12</v>
      </c>
      <c r="F13">
        <v>10</v>
      </c>
      <c r="G13">
        <f t="shared" si="0"/>
        <v>0.83333333333333337</v>
      </c>
    </row>
    <row r="14" spans="1:7" x14ac:dyDescent="0.2">
      <c r="A14" t="s">
        <v>8</v>
      </c>
      <c r="B14" t="s">
        <v>15</v>
      </c>
      <c r="C14">
        <v>5</v>
      </c>
      <c r="D14">
        <v>1793</v>
      </c>
      <c r="E14">
        <v>12</v>
      </c>
      <c r="F14">
        <v>2</v>
      </c>
      <c r="G14">
        <f t="shared" si="0"/>
        <v>0.16666666666666666</v>
      </c>
    </row>
    <row r="15" spans="1:7" x14ac:dyDescent="0.2">
      <c r="A15" t="s">
        <v>8</v>
      </c>
      <c r="B15" t="s">
        <v>15</v>
      </c>
      <c r="C15">
        <v>5</v>
      </c>
      <c r="D15">
        <v>1794</v>
      </c>
    </row>
    <row r="16" spans="1:7" x14ac:dyDescent="0.2">
      <c r="A16" t="s">
        <v>8</v>
      </c>
      <c r="B16" t="s">
        <v>15</v>
      </c>
      <c r="C16">
        <v>6</v>
      </c>
      <c r="D16">
        <v>1826</v>
      </c>
      <c r="E16">
        <v>11</v>
      </c>
      <c r="F16">
        <v>8</v>
      </c>
      <c r="G16">
        <f t="shared" si="0"/>
        <v>0.72727272727272729</v>
      </c>
    </row>
    <row r="17" spans="1:7" x14ac:dyDescent="0.2">
      <c r="A17" t="s">
        <v>8</v>
      </c>
      <c r="B17" t="s">
        <v>15</v>
      </c>
      <c r="C17">
        <v>6</v>
      </c>
      <c r="D17">
        <v>1829</v>
      </c>
      <c r="E17">
        <v>7</v>
      </c>
      <c r="F17">
        <v>4</v>
      </c>
      <c r="G17">
        <f t="shared" si="0"/>
        <v>0.5714285714285714</v>
      </c>
    </row>
    <row r="18" spans="1:7" x14ac:dyDescent="0.2">
      <c r="A18" t="s">
        <v>8</v>
      </c>
      <c r="B18" t="s">
        <v>15</v>
      </c>
      <c r="C18">
        <v>6</v>
      </c>
      <c r="D18">
        <v>1825</v>
      </c>
      <c r="E18">
        <v>11</v>
      </c>
      <c r="F18">
        <v>8</v>
      </c>
      <c r="G18">
        <f t="shared" si="0"/>
        <v>0.72727272727272729</v>
      </c>
    </row>
    <row r="19" spans="1:7" x14ac:dyDescent="0.2">
      <c r="A19" t="s">
        <v>1</v>
      </c>
      <c r="B19" t="s">
        <v>7</v>
      </c>
      <c r="C19">
        <v>7</v>
      </c>
      <c r="D19">
        <v>1843</v>
      </c>
      <c r="E19">
        <v>10</v>
      </c>
      <c r="F19">
        <v>2</v>
      </c>
      <c r="G19">
        <f t="shared" si="0"/>
        <v>0.2</v>
      </c>
    </row>
    <row r="20" spans="1:7" x14ac:dyDescent="0.2">
      <c r="A20" t="s">
        <v>1</v>
      </c>
      <c r="B20" t="s">
        <v>7</v>
      </c>
      <c r="C20">
        <v>7</v>
      </c>
      <c r="D20">
        <v>1845</v>
      </c>
      <c r="E20">
        <v>10</v>
      </c>
      <c r="F20">
        <v>3</v>
      </c>
      <c r="G20">
        <f t="shared" si="0"/>
        <v>0.3</v>
      </c>
    </row>
    <row r="21" spans="1:7" x14ac:dyDescent="0.2">
      <c r="A21" t="s">
        <v>1</v>
      </c>
      <c r="B21" t="s">
        <v>7</v>
      </c>
      <c r="C21">
        <v>7</v>
      </c>
      <c r="D21">
        <v>1848</v>
      </c>
      <c r="E21">
        <v>9</v>
      </c>
      <c r="F21">
        <v>1</v>
      </c>
      <c r="G21">
        <f t="shared" si="0"/>
        <v>0.1111111111111111</v>
      </c>
    </row>
    <row r="22" spans="1:7" x14ac:dyDescent="0.2">
      <c r="A22" t="s">
        <v>1</v>
      </c>
      <c r="B22" t="s">
        <v>7</v>
      </c>
      <c r="C22">
        <v>8</v>
      </c>
      <c r="D22">
        <v>1851</v>
      </c>
      <c r="E22">
        <v>11</v>
      </c>
      <c r="F22">
        <v>4</v>
      </c>
      <c r="G22">
        <f t="shared" si="0"/>
        <v>0.36363636363636365</v>
      </c>
    </row>
    <row r="23" spans="1:7" x14ac:dyDescent="0.2">
      <c r="A23" t="s">
        <v>1</v>
      </c>
      <c r="B23" t="s">
        <v>7</v>
      </c>
      <c r="C23">
        <v>8</v>
      </c>
      <c r="D23">
        <v>1852</v>
      </c>
      <c r="E23">
        <v>10</v>
      </c>
      <c r="F23">
        <v>0</v>
      </c>
      <c r="G23">
        <f t="shared" si="0"/>
        <v>0</v>
      </c>
    </row>
    <row r="24" spans="1:7" x14ac:dyDescent="0.2">
      <c r="A24" t="s">
        <v>8</v>
      </c>
      <c r="B24" t="s">
        <v>7</v>
      </c>
      <c r="C24">
        <v>9</v>
      </c>
      <c r="D24">
        <v>1830</v>
      </c>
      <c r="E24">
        <v>11</v>
      </c>
      <c r="F24">
        <v>13</v>
      </c>
      <c r="G24">
        <f t="shared" si="0"/>
        <v>1.1818181818181819</v>
      </c>
    </row>
    <row r="25" spans="1:7" x14ac:dyDescent="0.2">
      <c r="A25" t="s">
        <v>8</v>
      </c>
      <c r="B25" t="s">
        <v>7</v>
      </c>
      <c r="C25">
        <v>9</v>
      </c>
      <c r="D25">
        <v>1831</v>
      </c>
      <c r="E25">
        <v>11</v>
      </c>
      <c r="F25">
        <v>11</v>
      </c>
      <c r="G25">
        <f t="shared" si="0"/>
        <v>1</v>
      </c>
    </row>
    <row r="26" spans="1:7" x14ac:dyDescent="0.2">
      <c r="A26" t="s">
        <v>8</v>
      </c>
      <c r="B26" t="s">
        <v>7</v>
      </c>
      <c r="C26">
        <v>9</v>
      </c>
      <c r="D26">
        <v>1839</v>
      </c>
    </row>
    <row r="27" spans="1:7" x14ac:dyDescent="0.2">
      <c r="A27" t="s">
        <v>8</v>
      </c>
      <c r="B27" t="s">
        <v>7</v>
      </c>
      <c r="C27">
        <v>10</v>
      </c>
      <c r="D27">
        <v>1850</v>
      </c>
      <c r="E27">
        <v>10</v>
      </c>
      <c r="F27">
        <v>7</v>
      </c>
      <c r="G27">
        <f t="shared" si="0"/>
        <v>0.7</v>
      </c>
    </row>
    <row r="28" spans="1:7" x14ac:dyDescent="0.2">
      <c r="A28" t="s">
        <v>8</v>
      </c>
      <c r="B28" t="s">
        <v>7</v>
      </c>
      <c r="C28">
        <v>10</v>
      </c>
      <c r="D28">
        <v>1853</v>
      </c>
      <c r="E28">
        <v>12</v>
      </c>
      <c r="F28">
        <v>7</v>
      </c>
      <c r="G28">
        <f t="shared" si="0"/>
        <v>0.58333333333333337</v>
      </c>
    </row>
    <row r="29" spans="1:7" x14ac:dyDescent="0.2">
      <c r="A29" t="s">
        <v>8</v>
      </c>
      <c r="B29" t="s">
        <v>15</v>
      </c>
      <c r="C29">
        <v>11</v>
      </c>
      <c r="D29">
        <v>1847</v>
      </c>
      <c r="E29">
        <v>13</v>
      </c>
      <c r="F29">
        <v>13</v>
      </c>
      <c r="G29">
        <f t="shared" si="0"/>
        <v>1</v>
      </c>
    </row>
    <row r="30" spans="1:7" x14ac:dyDescent="0.2">
      <c r="A30" t="s">
        <v>8</v>
      </c>
      <c r="B30" t="s">
        <v>15</v>
      </c>
      <c r="C30">
        <v>11</v>
      </c>
      <c r="D30">
        <v>1844</v>
      </c>
      <c r="E30">
        <v>12</v>
      </c>
      <c r="F30">
        <v>7</v>
      </c>
      <c r="G30">
        <f t="shared" si="0"/>
        <v>0.58333333333333337</v>
      </c>
    </row>
    <row r="31" spans="1:7" x14ac:dyDescent="0.2">
      <c r="A31" t="s">
        <v>8</v>
      </c>
      <c r="B31" t="s">
        <v>15</v>
      </c>
      <c r="C31">
        <v>12</v>
      </c>
      <c r="D31">
        <v>1856</v>
      </c>
      <c r="E31">
        <v>11</v>
      </c>
      <c r="F31">
        <v>11</v>
      </c>
      <c r="G31">
        <f t="shared" si="0"/>
        <v>1</v>
      </c>
    </row>
    <row r="32" spans="1:7" x14ac:dyDescent="0.2">
      <c r="A32" t="s">
        <v>8</v>
      </c>
      <c r="B32" t="s">
        <v>15</v>
      </c>
      <c r="C32">
        <v>12</v>
      </c>
      <c r="D32">
        <v>1857</v>
      </c>
      <c r="E32">
        <v>12</v>
      </c>
      <c r="F32">
        <v>7</v>
      </c>
      <c r="G32">
        <f t="shared" si="0"/>
        <v>0.58333333333333337</v>
      </c>
    </row>
    <row r="33" spans="1:7" x14ac:dyDescent="0.2">
      <c r="A33" t="s">
        <v>8</v>
      </c>
      <c r="B33" t="s">
        <v>15</v>
      </c>
      <c r="C33">
        <v>12</v>
      </c>
      <c r="D33">
        <v>1858</v>
      </c>
      <c r="E33">
        <v>15</v>
      </c>
      <c r="F33">
        <v>13</v>
      </c>
      <c r="G33">
        <f t="shared" si="0"/>
        <v>0.8666666666666667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E33"/>
  <sheetViews>
    <sheetView workbookViewId="0">
      <selection activeCell="F1" sqref="F1:G1048576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7.41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10.8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4.25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4.5999999999999996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4.32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6.79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5.82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4.7699999999999996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6.27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9.5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>
        <v>24.02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>
        <v>7.79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>
        <v>6.32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>
        <v>6.68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>
        <v>19.649999999999999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>
        <v>11.23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>
        <v>8.08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8.8699999999999992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8.43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7.22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4.45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4.12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9.75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8.34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13.1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6.17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14.04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>
        <v>14.71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>
        <v>11.45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>
        <v>11.82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>
        <v>7.61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11.13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E33"/>
  <sheetViews>
    <sheetView workbookViewId="0">
      <selection activeCell="B29" sqref="B29:B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59.54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13.72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60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60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38.56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29.65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60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5.36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28.93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8.9600000000000009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>
        <v>22.66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>
        <v>7.96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>
        <v>30.98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>
        <v>0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>
        <v>10.43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>
        <v>26.31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>
        <v>14.27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60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60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60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19.03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60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8.24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2.73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6.66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37.549999999999997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10.98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>
        <v>27.2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>
        <v>13.2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>
        <v>11.1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>
        <v>8.66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21.23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E33"/>
  <sheetViews>
    <sheetView workbookViewId="0">
      <selection activeCell="B32" sqref="B32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 s="8">
        <v>6.07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 s="8">
        <v>1.97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 s="8">
        <v>2.02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 s="8">
        <v>1.4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 s="8">
        <v>1.1100000000000001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 s="8">
        <v>1.03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 s="8">
        <v>2.73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 s="8">
        <v>1.26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 s="8">
        <v>2.48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 s="8">
        <v>2.2999999999999998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 s="8">
        <v>0.88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 s="8">
        <v>2.7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 s="8">
        <v>1.2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 s="8">
        <v>1.97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 s="8">
        <v>2.37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 s="8">
        <v>2.8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 s="8">
        <v>1.23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2.37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1.01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0.96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0.93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1.72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8.2899999999999991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3.47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30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3.47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1.35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>
        <v>2.2999999999999998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>
        <v>1.88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>
        <v>2.95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>
        <v>1.1599999999999999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2.95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E33"/>
  <sheetViews>
    <sheetView workbookViewId="0">
      <selection activeCell="B17" sqref="B17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1.5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1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0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0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0.5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0.5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1.5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2.5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3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1.5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>
        <v>1.5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>
        <v>0.5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>
        <v>1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>
        <v>1.5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>
        <v>1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>
        <v>2.5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>
        <v>0.5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0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1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0.5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0.5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0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2.5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2.5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2.5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1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>
        <v>2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>
        <v>1.5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>
        <v>1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>
        <v>1.5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E33"/>
  <sheetViews>
    <sheetView workbookViewId="0">
      <selection activeCell="F1" sqref="F1:H1048576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14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3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5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3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11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6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2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10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13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7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4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>
        <v>1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>
        <v>2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>
        <v>2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>
        <v>0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>
        <v>12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>
        <v>5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>
        <v>3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4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4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0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10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4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2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3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9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3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2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 s="3">
        <v>9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>
        <v>9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>
        <v>3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>
        <v>5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9DC1-4707-684A-96F1-F39495A9F11A}">
  <dimension ref="A1:H33"/>
  <sheetViews>
    <sheetView workbookViewId="0">
      <selection activeCell="B16" sqref="B16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4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3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3.5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2.5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2.5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3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3.5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3.5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2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2.5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>
        <v>4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>
        <v>4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>
        <v>3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>
        <v>2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>
        <v>3</v>
      </c>
    </row>
    <row r="17" spans="1:8" x14ac:dyDescent="0.2">
      <c r="A17" t="s">
        <v>8</v>
      </c>
      <c r="B17" t="s">
        <v>15</v>
      </c>
      <c r="C17">
        <v>6</v>
      </c>
      <c r="D17">
        <v>1829</v>
      </c>
      <c r="E17">
        <v>3</v>
      </c>
    </row>
    <row r="18" spans="1:8" x14ac:dyDescent="0.2">
      <c r="A18" t="s">
        <v>8</v>
      </c>
      <c r="B18" t="s">
        <v>15</v>
      </c>
      <c r="C18">
        <v>6</v>
      </c>
      <c r="D18">
        <v>1825</v>
      </c>
      <c r="E18">
        <v>3</v>
      </c>
    </row>
    <row r="19" spans="1:8" x14ac:dyDescent="0.2">
      <c r="A19" t="s">
        <v>1</v>
      </c>
      <c r="B19" t="s">
        <v>7</v>
      </c>
      <c r="C19">
        <v>7</v>
      </c>
      <c r="D19">
        <v>1843</v>
      </c>
      <c r="E19">
        <v>4</v>
      </c>
    </row>
    <row r="20" spans="1:8" x14ac:dyDescent="0.2">
      <c r="A20" t="s">
        <v>1</v>
      </c>
      <c r="B20" t="s">
        <v>7</v>
      </c>
      <c r="C20">
        <v>7</v>
      </c>
      <c r="D20">
        <v>1845</v>
      </c>
      <c r="E20">
        <v>3</v>
      </c>
    </row>
    <row r="21" spans="1:8" x14ac:dyDescent="0.2">
      <c r="A21" t="s">
        <v>1</v>
      </c>
      <c r="B21" t="s">
        <v>7</v>
      </c>
      <c r="C21">
        <v>7</v>
      </c>
      <c r="D21">
        <v>1848</v>
      </c>
      <c r="E21">
        <v>3</v>
      </c>
    </row>
    <row r="22" spans="1:8" x14ac:dyDescent="0.2">
      <c r="A22" t="s">
        <v>1</v>
      </c>
      <c r="B22" t="s">
        <v>7</v>
      </c>
      <c r="C22">
        <v>8</v>
      </c>
      <c r="D22">
        <v>1851</v>
      </c>
      <c r="E22">
        <v>4</v>
      </c>
    </row>
    <row r="23" spans="1:8" x14ac:dyDescent="0.2">
      <c r="A23" t="s">
        <v>1</v>
      </c>
      <c r="B23" t="s">
        <v>7</v>
      </c>
      <c r="C23">
        <v>8</v>
      </c>
      <c r="D23">
        <v>1852</v>
      </c>
      <c r="E23">
        <v>2</v>
      </c>
    </row>
    <row r="24" spans="1:8" x14ac:dyDescent="0.2">
      <c r="A24" t="s">
        <v>8</v>
      </c>
      <c r="B24" t="s">
        <v>7</v>
      </c>
      <c r="C24">
        <v>9</v>
      </c>
      <c r="D24">
        <v>1830</v>
      </c>
      <c r="E24">
        <v>2.5</v>
      </c>
    </row>
    <row r="25" spans="1:8" x14ac:dyDescent="0.2">
      <c r="A25" t="s">
        <v>8</v>
      </c>
      <c r="B25" t="s">
        <v>7</v>
      </c>
      <c r="C25">
        <v>9</v>
      </c>
      <c r="D25">
        <v>1831</v>
      </c>
      <c r="E25">
        <v>3</v>
      </c>
    </row>
    <row r="26" spans="1:8" x14ac:dyDescent="0.2">
      <c r="A26" t="s">
        <v>8</v>
      </c>
      <c r="B26" t="s">
        <v>7</v>
      </c>
      <c r="C26">
        <v>9</v>
      </c>
      <c r="D26">
        <v>1839</v>
      </c>
      <c r="E26">
        <v>2</v>
      </c>
    </row>
    <row r="27" spans="1:8" x14ac:dyDescent="0.2">
      <c r="A27" t="s">
        <v>8</v>
      </c>
      <c r="B27" t="s">
        <v>7</v>
      </c>
      <c r="C27">
        <v>10</v>
      </c>
      <c r="D27">
        <v>1850</v>
      </c>
      <c r="E27">
        <v>2.5</v>
      </c>
    </row>
    <row r="28" spans="1:8" x14ac:dyDescent="0.2">
      <c r="A28" t="s">
        <v>8</v>
      </c>
      <c r="B28" t="s">
        <v>7</v>
      </c>
      <c r="C28">
        <v>10</v>
      </c>
      <c r="D28">
        <v>1853</v>
      </c>
      <c r="E28">
        <v>3</v>
      </c>
    </row>
    <row r="29" spans="1:8" x14ac:dyDescent="0.2">
      <c r="A29" t="s">
        <v>8</v>
      </c>
      <c r="B29" t="s">
        <v>15</v>
      </c>
      <c r="C29">
        <v>11</v>
      </c>
      <c r="D29">
        <v>1847</v>
      </c>
      <c r="E29" s="3">
        <v>3</v>
      </c>
      <c r="F29" s="3"/>
      <c r="G29" s="3"/>
      <c r="H29" s="3"/>
    </row>
    <row r="30" spans="1:8" x14ac:dyDescent="0.2">
      <c r="A30" t="s">
        <v>8</v>
      </c>
      <c r="B30" t="s">
        <v>15</v>
      </c>
      <c r="C30">
        <v>11</v>
      </c>
      <c r="D30">
        <v>1844</v>
      </c>
      <c r="E30">
        <v>3</v>
      </c>
    </row>
    <row r="31" spans="1:8" x14ac:dyDescent="0.2">
      <c r="A31" t="s">
        <v>8</v>
      </c>
      <c r="B31" t="s">
        <v>15</v>
      </c>
      <c r="C31">
        <v>12</v>
      </c>
      <c r="D31">
        <v>1856</v>
      </c>
      <c r="E31">
        <v>3.5</v>
      </c>
    </row>
    <row r="32" spans="1:8" x14ac:dyDescent="0.2">
      <c r="A32" t="s">
        <v>8</v>
      </c>
      <c r="B32" t="s">
        <v>15</v>
      </c>
      <c r="C32">
        <v>12</v>
      </c>
      <c r="D32">
        <v>1857</v>
      </c>
      <c r="E32">
        <v>3.5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J33"/>
  <sheetViews>
    <sheetView workbookViewId="0">
      <selection activeCell="B17" sqref="B17"/>
    </sheetView>
  </sheetViews>
  <sheetFormatPr baseColWidth="10" defaultRowHeight="16" x14ac:dyDescent="0.2"/>
  <sheetData>
    <row r="1" spans="1:10" x14ac:dyDescent="0.2">
      <c r="A1" t="s">
        <v>0</v>
      </c>
      <c r="B1" t="s">
        <v>6</v>
      </c>
      <c r="C1" t="s">
        <v>5</v>
      </c>
      <c r="D1" t="s">
        <v>3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</row>
    <row r="2" spans="1:10" x14ac:dyDescent="0.2">
      <c r="A2" t="s">
        <v>1</v>
      </c>
      <c r="B2" t="s">
        <v>7</v>
      </c>
      <c r="C2">
        <v>1</v>
      </c>
      <c r="D2">
        <v>1787</v>
      </c>
      <c r="E2">
        <v>1022.6</v>
      </c>
      <c r="F2">
        <v>1050.0999999999999</v>
      </c>
      <c r="G2">
        <v>1031.2</v>
      </c>
      <c r="H2">
        <f>F2-E2</f>
        <v>27.499999999999886</v>
      </c>
      <c r="I2">
        <f>G2-E2</f>
        <v>8.6000000000000227</v>
      </c>
      <c r="J2">
        <v>68.727272727272521</v>
      </c>
    </row>
    <row r="3" spans="1:10" x14ac:dyDescent="0.2">
      <c r="A3" t="s">
        <v>1</v>
      </c>
      <c r="B3" t="s">
        <v>7</v>
      </c>
      <c r="C3">
        <v>1</v>
      </c>
      <c r="D3">
        <v>1788</v>
      </c>
      <c r="E3">
        <v>1026.5999999999999</v>
      </c>
      <c r="F3">
        <v>1066.0999999999999</v>
      </c>
      <c r="G3">
        <v>1043</v>
      </c>
      <c r="H3">
        <f t="shared" ref="H3:H11" si="0">F3-E3</f>
        <v>39.5</v>
      </c>
      <c r="I3">
        <f t="shared" ref="I3:I11" si="1">G3-E3</f>
        <v>16.400000000000091</v>
      </c>
      <c r="J3">
        <v>58.481012658227613</v>
      </c>
    </row>
    <row r="4" spans="1:10" x14ac:dyDescent="0.2">
      <c r="A4" t="s">
        <v>1</v>
      </c>
      <c r="B4" t="s">
        <v>7</v>
      </c>
      <c r="C4">
        <v>1</v>
      </c>
      <c r="D4">
        <v>1789</v>
      </c>
      <c r="E4">
        <v>1021.8</v>
      </c>
      <c r="F4">
        <v>1048.2</v>
      </c>
      <c r="G4">
        <v>1033</v>
      </c>
      <c r="H4">
        <f t="shared" si="0"/>
        <v>26.400000000000091</v>
      </c>
      <c r="I4">
        <f t="shared" si="1"/>
        <v>11.200000000000045</v>
      </c>
      <c r="J4">
        <v>57.575757575757549</v>
      </c>
    </row>
    <row r="5" spans="1:10" x14ac:dyDescent="0.2">
      <c r="A5" t="s">
        <v>1</v>
      </c>
      <c r="B5" t="s">
        <v>7</v>
      </c>
      <c r="C5">
        <v>2</v>
      </c>
      <c r="D5">
        <v>1814</v>
      </c>
      <c r="E5">
        <v>1033.2</v>
      </c>
      <c r="F5">
        <v>1073.7</v>
      </c>
      <c r="G5">
        <v>1048.4000000000001</v>
      </c>
      <c r="H5">
        <f t="shared" si="0"/>
        <v>40.5</v>
      </c>
      <c r="I5">
        <f t="shared" si="1"/>
        <v>15.200000000000045</v>
      </c>
      <c r="J5">
        <v>62.469135802469026</v>
      </c>
    </row>
    <row r="6" spans="1:10" x14ac:dyDescent="0.2">
      <c r="A6" t="s">
        <v>1</v>
      </c>
      <c r="B6" t="s">
        <v>7</v>
      </c>
      <c r="C6">
        <v>2</v>
      </c>
      <c r="D6">
        <v>1816</v>
      </c>
      <c r="E6">
        <v>1024.7</v>
      </c>
      <c r="F6">
        <v>1045.3</v>
      </c>
      <c r="G6">
        <v>1036.4000000000001</v>
      </c>
      <c r="H6">
        <f t="shared" si="0"/>
        <v>20.599999999999909</v>
      </c>
      <c r="I6">
        <f t="shared" si="1"/>
        <v>11.700000000000045</v>
      </c>
      <c r="J6">
        <v>43.203883495145163</v>
      </c>
    </row>
    <row r="7" spans="1:10" x14ac:dyDescent="0.2">
      <c r="A7" t="s">
        <v>1</v>
      </c>
      <c r="B7" t="s">
        <v>7</v>
      </c>
      <c r="C7">
        <v>2</v>
      </c>
      <c r="D7">
        <v>1817</v>
      </c>
      <c r="E7">
        <v>1022.5</v>
      </c>
      <c r="F7">
        <v>1045.2</v>
      </c>
      <c r="G7">
        <v>1033.8</v>
      </c>
      <c r="H7">
        <f t="shared" si="0"/>
        <v>22.700000000000045</v>
      </c>
      <c r="I7">
        <f t="shared" si="1"/>
        <v>11.299999999999955</v>
      </c>
      <c r="J7">
        <v>50.22026431718092</v>
      </c>
    </row>
    <row r="8" spans="1:10" x14ac:dyDescent="0.2">
      <c r="A8" t="s">
        <v>8</v>
      </c>
      <c r="B8" t="s">
        <v>7</v>
      </c>
      <c r="C8">
        <v>3</v>
      </c>
      <c r="D8">
        <v>1798</v>
      </c>
      <c r="E8">
        <v>1004.4</v>
      </c>
      <c r="F8">
        <v>1026.8</v>
      </c>
      <c r="G8">
        <v>1010.2</v>
      </c>
      <c r="H8">
        <f t="shared" si="0"/>
        <v>22.399999999999977</v>
      </c>
      <c r="I8">
        <f t="shared" si="1"/>
        <v>5.8000000000000682</v>
      </c>
      <c r="J8">
        <v>74.10714285714252</v>
      </c>
    </row>
    <row r="9" spans="1:10" x14ac:dyDescent="0.2">
      <c r="A9" t="s">
        <v>8</v>
      </c>
      <c r="B9" t="s">
        <v>7</v>
      </c>
      <c r="C9">
        <v>3</v>
      </c>
      <c r="D9">
        <v>1802</v>
      </c>
      <c r="E9">
        <v>996.7</v>
      </c>
      <c r="F9">
        <v>1032.2</v>
      </c>
      <c r="G9">
        <v>1009</v>
      </c>
      <c r="H9">
        <f t="shared" si="0"/>
        <v>35.5</v>
      </c>
      <c r="I9">
        <f t="shared" si="1"/>
        <v>12.299999999999955</v>
      </c>
      <c r="J9">
        <v>65.352112676056464</v>
      </c>
    </row>
    <row r="10" spans="1:10" x14ac:dyDescent="0.2">
      <c r="A10" t="s">
        <v>8</v>
      </c>
      <c r="B10" t="s">
        <v>7</v>
      </c>
      <c r="C10">
        <v>4</v>
      </c>
      <c r="D10">
        <v>1810</v>
      </c>
      <c r="E10">
        <v>1024.5</v>
      </c>
      <c r="F10">
        <v>1051.2</v>
      </c>
      <c r="G10">
        <v>1039.4000000000001</v>
      </c>
      <c r="H10">
        <f t="shared" si="0"/>
        <v>26.700000000000045</v>
      </c>
      <c r="I10">
        <f t="shared" si="1"/>
        <v>14.900000000000091</v>
      </c>
      <c r="J10">
        <v>44.194756554306871</v>
      </c>
    </row>
    <row r="11" spans="1:10" x14ac:dyDescent="0.2">
      <c r="A11" t="s">
        <v>8</v>
      </c>
      <c r="B11" t="s">
        <v>7</v>
      </c>
      <c r="C11">
        <v>4</v>
      </c>
      <c r="D11">
        <v>1813</v>
      </c>
      <c r="E11">
        <v>1010.9</v>
      </c>
      <c r="F11">
        <v>1028.5</v>
      </c>
      <c r="G11">
        <v>1019.2</v>
      </c>
      <c r="H11">
        <f t="shared" si="0"/>
        <v>17.600000000000023</v>
      </c>
      <c r="I11">
        <f t="shared" si="1"/>
        <v>8.3000000000000682</v>
      </c>
      <c r="J11">
        <v>52.84090909090876</v>
      </c>
    </row>
    <row r="12" spans="1:10" x14ac:dyDescent="0.2">
      <c r="A12" t="s">
        <v>8</v>
      </c>
      <c r="B12" t="s">
        <v>9</v>
      </c>
      <c r="C12">
        <v>5</v>
      </c>
      <c r="D12">
        <v>1790</v>
      </c>
      <c r="E12">
        <v>1024.3</v>
      </c>
      <c r="F12">
        <v>1054.7</v>
      </c>
      <c r="G12">
        <v>1037.4000000000001</v>
      </c>
      <c r="H12">
        <f>F12-E12</f>
        <v>30.400000000000091</v>
      </c>
      <c r="I12">
        <f>G12-E12</f>
        <v>13.100000000000136</v>
      </c>
      <c r="J12">
        <v>56.90789473684179</v>
      </c>
    </row>
    <row r="13" spans="1:10" x14ac:dyDescent="0.2">
      <c r="A13" t="s">
        <v>8</v>
      </c>
      <c r="B13" t="s">
        <v>15</v>
      </c>
      <c r="C13">
        <v>5</v>
      </c>
      <c r="D13">
        <v>1791</v>
      </c>
      <c r="E13">
        <v>1028.5</v>
      </c>
      <c r="F13">
        <v>1072.5</v>
      </c>
      <c r="G13">
        <v>1044.8</v>
      </c>
      <c r="H13">
        <f>F13-E13</f>
        <v>44</v>
      </c>
      <c r="I13">
        <f>G13-E13</f>
        <v>16.299999999999955</v>
      </c>
      <c r="J13">
        <v>62.95454545454556</v>
      </c>
    </row>
    <row r="14" spans="1:10" x14ac:dyDescent="0.2">
      <c r="A14" t="s">
        <v>8</v>
      </c>
      <c r="B14" t="s">
        <v>15</v>
      </c>
      <c r="C14">
        <v>5</v>
      </c>
      <c r="D14">
        <v>1793</v>
      </c>
      <c r="E14">
        <v>1026.2</v>
      </c>
      <c r="F14">
        <v>1045.9000000000001</v>
      </c>
      <c r="G14">
        <v>1033.8</v>
      </c>
      <c r="H14">
        <f>F14-E14</f>
        <v>19.700000000000045</v>
      </c>
      <c r="I14">
        <f>G14-E14</f>
        <v>7.5999999999999091</v>
      </c>
      <c r="J14">
        <v>61.421319796954862</v>
      </c>
    </row>
    <row r="15" spans="1:10" x14ac:dyDescent="0.2">
      <c r="A15" t="s">
        <v>8</v>
      </c>
      <c r="B15" t="s">
        <v>15</v>
      </c>
      <c r="C15">
        <v>5</v>
      </c>
      <c r="D15">
        <v>1794</v>
      </c>
      <c r="E15">
        <v>1025.8</v>
      </c>
      <c r="F15">
        <v>1043.5999999999999</v>
      </c>
      <c r="G15">
        <v>1037</v>
      </c>
      <c r="H15">
        <f>F15-E15</f>
        <v>17.799999999999955</v>
      </c>
      <c r="I15">
        <f>G15-E15</f>
        <v>11.200000000000045</v>
      </c>
      <c r="J15">
        <v>37.078651685392842</v>
      </c>
    </row>
    <row r="16" spans="1:10" x14ac:dyDescent="0.2">
      <c r="A16" t="s">
        <v>8</v>
      </c>
      <c r="B16" t="s">
        <v>15</v>
      </c>
      <c r="C16">
        <v>6</v>
      </c>
      <c r="D16">
        <v>1826</v>
      </c>
      <c r="E16">
        <v>1022.5</v>
      </c>
      <c r="F16">
        <v>1043.4000000000001</v>
      </c>
      <c r="G16">
        <v>1031</v>
      </c>
      <c r="H16">
        <f>F16-E16</f>
        <v>20.900000000000091</v>
      </c>
      <c r="I16">
        <f>G16-E16</f>
        <v>8.5</v>
      </c>
      <c r="J16">
        <v>59.330143540670036</v>
      </c>
    </row>
    <row r="17" spans="1:10" x14ac:dyDescent="0.2">
      <c r="A17" t="s">
        <v>8</v>
      </c>
      <c r="B17" t="s">
        <v>15</v>
      </c>
      <c r="C17">
        <v>6</v>
      </c>
      <c r="D17">
        <v>1829</v>
      </c>
      <c r="E17">
        <v>1000.8</v>
      </c>
      <c r="F17">
        <v>1026.5999999999999</v>
      </c>
      <c r="G17">
        <v>1013.8</v>
      </c>
      <c r="H17">
        <f>F17-E17</f>
        <v>25.799999999999955</v>
      </c>
      <c r="I17">
        <f>G17-E17</f>
        <v>13</v>
      </c>
      <c r="J17">
        <v>49.612403100775104</v>
      </c>
    </row>
    <row r="18" spans="1:10" x14ac:dyDescent="0.2">
      <c r="A18" t="s">
        <v>8</v>
      </c>
      <c r="B18" t="s">
        <v>15</v>
      </c>
      <c r="C18">
        <v>6</v>
      </c>
      <c r="D18">
        <v>1825</v>
      </c>
      <c r="E18">
        <v>1028.2</v>
      </c>
      <c r="F18">
        <v>1047.9000000000001</v>
      </c>
      <c r="G18">
        <v>1040.5999999999999</v>
      </c>
      <c r="H18">
        <f>F18-E18</f>
        <v>19.700000000000045</v>
      </c>
      <c r="I18">
        <f>G18-E18</f>
        <v>12.399999999999864</v>
      </c>
      <c r="J18">
        <v>37.055837563452613</v>
      </c>
    </row>
    <row r="19" spans="1:10" x14ac:dyDescent="0.2">
      <c r="A19" t="s">
        <v>1</v>
      </c>
      <c r="B19" t="s">
        <v>7</v>
      </c>
      <c r="C19">
        <v>7</v>
      </c>
      <c r="D19">
        <v>1843</v>
      </c>
      <c r="E19">
        <v>977.2</v>
      </c>
      <c r="F19">
        <v>1038.5999999999999</v>
      </c>
      <c r="G19" s="4"/>
    </row>
    <row r="20" spans="1:10" x14ac:dyDescent="0.2">
      <c r="A20" t="s">
        <v>1</v>
      </c>
      <c r="B20" t="s">
        <v>7</v>
      </c>
      <c r="C20">
        <v>7</v>
      </c>
      <c r="D20">
        <v>1845</v>
      </c>
      <c r="E20">
        <v>972.3</v>
      </c>
      <c r="F20">
        <v>990.7</v>
      </c>
      <c r="G20">
        <v>978</v>
      </c>
      <c r="H20">
        <f t="shared" ref="H20:H33" si="2">F20-E20</f>
        <v>18.400000000000091</v>
      </c>
      <c r="I20">
        <f>G20-E20</f>
        <v>5.7000000000000455</v>
      </c>
      <c r="J20">
        <v>69.021739130434696</v>
      </c>
    </row>
    <row r="21" spans="1:10" x14ac:dyDescent="0.2">
      <c r="A21" t="s">
        <v>1</v>
      </c>
      <c r="B21" t="s">
        <v>7</v>
      </c>
      <c r="C21">
        <v>7</v>
      </c>
      <c r="D21">
        <v>1848</v>
      </c>
      <c r="E21">
        <v>934.5</v>
      </c>
      <c r="F21">
        <v>967.9</v>
      </c>
      <c r="G21">
        <v>947.4</v>
      </c>
      <c r="H21">
        <f t="shared" si="2"/>
        <v>33.399999999999977</v>
      </c>
      <c r="I21">
        <f t="shared" ref="I21:I33" si="3">G21-E21</f>
        <v>12.899999999999977</v>
      </c>
      <c r="J21">
        <v>61.377245508982078</v>
      </c>
    </row>
    <row r="22" spans="1:10" x14ac:dyDescent="0.2">
      <c r="A22" t="s">
        <v>1</v>
      </c>
      <c r="B22" t="s">
        <v>7</v>
      </c>
      <c r="C22">
        <v>8</v>
      </c>
      <c r="D22">
        <v>1851</v>
      </c>
      <c r="E22">
        <v>978</v>
      </c>
      <c r="F22">
        <v>1011.7</v>
      </c>
      <c r="G22">
        <v>984.9</v>
      </c>
      <c r="H22">
        <f t="shared" si="2"/>
        <v>33.700000000000045</v>
      </c>
      <c r="I22">
        <f t="shared" si="3"/>
        <v>6.8999999999999773</v>
      </c>
      <c r="J22">
        <v>79.525222551928877</v>
      </c>
    </row>
    <row r="23" spans="1:10" x14ac:dyDescent="0.2">
      <c r="A23" t="s">
        <v>1</v>
      </c>
      <c r="B23" t="s">
        <v>7</v>
      </c>
      <c r="C23">
        <v>8</v>
      </c>
      <c r="D23">
        <v>1852</v>
      </c>
      <c r="E23">
        <v>980.6</v>
      </c>
      <c r="F23">
        <v>1002.9</v>
      </c>
      <c r="G23">
        <v>993</v>
      </c>
      <c r="H23">
        <f t="shared" si="2"/>
        <v>22.299999999999955</v>
      </c>
      <c r="I23">
        <f t="shared" si="3"/>
        <v>12.399999999999977</v>
      </c>
      <c r="J23">
        <v>44.39461883408071</v>
      </c>
    </row>
    <row r="24" spans="1:10" x14ac:dyDescent="0.2">
      <c r="A24" t="s">
        <v>8</v>
      </c>
      <c r="B24" t="s">
        <v>7</v>
      </c>
      <c r="C24">
        <v>9</v>
      </c>
      <c r="D24">
        <v>1830</v>
      </c>
      <c r="E24">
        <v>976.8</v>
      </c>
      <c r="F24">
        <v>1006.9</v>
      </c>
      <c r="G24">
        <v>993.9</v>
      </c>
      <c r="H24">
        <f t="shared" si="2"/>
        <v>30.100000000000023</v>
      </c>
      <c r="I24">
        <f t="shared" si="3"/>
        <v>17.100000000000023</v>
      </c>
      <c r="J24">
        <v>43.189368770764084</v>
      </c>
    </row>
    <row r="25" spans="1:10" x14ac:dyDescent="0.2">
      <c r="A25" t="s">
        <v>8</v>
      </c>
      <c r="B25" t="s">
        <v>7</v>
      </c>
      <c r="C25">
        <v>9</v>
      </c>
      <c r="D25">
        <v>1831</v>
      </c>
      <c r="E25">
        <v>980.5</v>
      </c>
      <c r="F25">
        <v>1022.9</v>
      </c>
      <c r="G25">
        <v>1000.7</v>
      </c>
      <c r="H25">
        <f t="shared" si="2"/>
        <v>42.399999999999977</v>
      </c>
      <c r="I25">
        <f t="shared" si="3"/>
        <v>20.200000000000045</v>
      </c>
      <c r="J25">
        <v>52.358490566037609</v>
      </c>
    </row>
    <row r="26" spans="1:10" x14ac:dyDescent="0.2">
      <c r="A26" t="s">
        <v>8</v>
      </c>
      <c r="B26" t="s">
        <v>7</v>
      </c>
      <c r="C26">
        <v>9</v>
      </c>
      <c r="D26">
        <v>1839</v>
      </c>
      <c r="E26">
        <v>937.8</v>
      </c>
      <c r="F26">
        <v>962.9</v>
      </c>
      <c r="G26">
        <v>950.5</v>
      </c>
      <c r="H26">
        <f t="shared" si="2"/>
        <v>25.100000000000023</v>
      </c>
      <c r="I26">
        <f t="shared" si="3"/>
        <v>12.700000000000045</v>
      </c>
      <c r="J26">
        <v>49.402390438246883</v>
      </c>
    </row>
    <row r="27" spans="1:10" x14ac:dyDescent="0.2">
      <c r="A27" t="s">
        <v>8</v>
      </c>
      <c r="B27" t="s">
        <v>7</v>
      </c>
      <c r="C27">
        <v>10</v>
      </c>
      <c r="D27">
        <v>1850</v>
      </c>
      <c r="E27">
        <v>1025.2</v>
      </c>
      <c r="F27">
        <v>1055.2</v>
      </c>
      <c r="G27">
        <v>1039.2</v>
      </c>
      <c r="H27">
        <f t="shared" si="2"/>
        <v>30</v>
      </c>
      <c r="I27">
        <f t="shared" si="3"/>
        <v>14</v>
      </c>
      <c r="J27">
        <v>53.333333333333336</v>
      </c>
    </row>
    <row r="28" spans="1:10" x14ac:dyDescent="0.2">
      <c r="A28" t="s">
        <v>8</v>
      </c>
      <c r="B28" t="s">
        <v>7</v>
      </c>
      <c r="C28">
        <v>10</v>
      </c>
      <c r="D28">
        <v>1853</v>
      </c>
      <c r="E28">
        <v>1003.3</v>
      </c>
      <c r="F28">
        <v>1041.7</v>
      </c>
      <c r="G28">
        <v>1017.1</v>
      </c>
      <c r="H28">
        <f t="shared" si="2"/>
        <v>38.400000000000091</v>
      </c>
      <c r="I28">
        <f t="shared" si="3"/>
        <v>13.800000000000068</v>
      </c>
      <c r="J28">
        <v>64.062499999999915</v>
      </c>
    </row>
    <row r="29" spans="1:10" x14ac:dyDescent="0.2">
      <c r="A29" t="s">
        <v>8</v>
      </c>
      <c r="B29" t="s">
        <v>15</v>
      </c>
      <c r="C29">
        <v>11</v>
      </c>
      <c r="D29">
        <v>1847</v>
      </c>
      <c r="E29" s="3">
        <v>982.8</v>
      </c>
      <c r="F29" s="3">
        <v>1006.8</v>
      </c>
      <c r="G29">
        <v>991.7</v>
      </c>
      <c r="H29">
        <f t="shared" si="2"/>
        <v>24</v>
      </c>
      <c r="I29">
        <f t="shared" si="3"/>
        <v>8.9000000000000909</v>
      </c>
      <c r="J29">
        <v>62.916666666666288</v>
      </c>
    </row>
    <row r="30" spans="1:10" x14ac:dyDescent="0.2">
      <c r="A30" t="s">
        <v>8</v>
      </c>
      <c r="B30" t="s">
        <v>15</v>
      </c>
      <c r="C30">
        <v>11</v>
      </c>
      <c r="D30">
        <v>1844</v>
      </c>
      <c r="E30">
        <v>1022.7</v>
      </c>
      <c r="F30">
        <v>1044.0999999999999</v>
      </c>
      <c r="G30" s="3">
        <v>1035.7</v>
      </c>
      <c r="H30">
        <f t="shared" si="2"/>
        <v>21.399999999999864</v>
      </c>
      <c r="I30">
        <f t="shared" si="3"/>
        <v>13</v>
      </c>
      <c r="J30">
        <v>39.252336448597738</v>
      </c>
    </row>
    <row r="31" spans="1:10" x14ac:dyDescent="0.2">
      <c r="A31" t="s">
        <v>8</v>
      </c>
      <c r="B31" t="s">
        <v>15</v>
      </c>
      <c r="C31">
        <v>12</v>
      </c>
      <c r="D31">
        <v>1856</v>
      </c>
      <c r="E31">
        <v>1015.2</v>
      </c>
      <c r="F31">
        <v>1041.7</v>
      </c>
      <c r="G31">
        <v>1024.8</v>
      </c>
      <c r="H31">
        <f t="shared" si="2"/>
        <v>26.5</v>
      </c>
      <c r="I31">
        <f t="shared" si="3"/>
        <v>9.5999999999999091</v>
      </c>
      <c r="J31">
        <v>63.773584905660719</v>
      </c>
    </row>
    <row r="32" spans="1:10" x14ac:dyDescent="0.2">
      <c r="A32" t="s">
        <v>8</v>
      </c>
      <c r="B32" t="s">
        <v>15</v>
      </c>
      <c r="C32">
        <v>12</v>
      </c>
      <c r="D32">
        <v>1857</v>
      </c>
      <c r="E32">
        <v>981.9</v>
      </c>
      <c r="F32">
        <v>1000.9</v>
      </c>
      <c r="G32">
        <v>988.5</v>
      </c>
      <c r="H32">
        <f t="shared" si="2"/>
        <v>19</v>
      </c>
      <c r="I32">
        <f t="shared" si="3"/>
        <v>6.6000000000000227</v>
      </c>
      <c r="J32">
        <v>65.263157894736722</v>
      </c>
    </row>
    <row r="33" spans="1:10" x14ac:dyDescent="0.2">
      <c r="A33" t="s">
        <v>8</v>
      </c>
      <c r="B33" t="s">
        <v>15</v>
      </c>
      <c r="C33">
        <v>12</v>
      </c>
      <c r="D33">
        <v>1858</v>
      </c>
      <c r="E33">
        <v>936.2</v>
      </c>
      <c r="F33">
        <v>966.1</v>
      </c>
      <c r="G33">
        <v>947</v>
      </c>
      <c r="H33">
        <f t="shared" si="2"/>
        <v>29.899999999999977</v>
      </c>
      <c r="I33">
        <f t="shared" si="3"/>
        <v>10.799999999999955</v>
      </c>
      <c r="J33">
        <v>63.879598662207485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33"/>
  <sheetViews>
    <sheetView workbookViewId="0">
      <selection activeCell="B17" sqref="B17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5</v>
      </c>
      <c r="D1" t="s">
        <v>3</v>
      </c>
      <c r="E1" s="8" t="s">
        <v>22</v>
      </c>
      <c r="F1" s="8" t="s">
        <v>23</v>
      </c>
      <c r="G1" s="8" t="s">
        <v>24</v>
      </c>
    </row>
    <row r="2" spans="1:7" x14ac:dyDescent="0.2">
      <c r="A2" t="s">
        <v>1</v>
      </c>
      <c r="B2" t="s">
        <v>7</v>
      </c>
      <c r="C2">
        <v>1</v>
      </c>
      <c r="D2">
        <v>1787</v>
      </c>
      <c r="E2" s="1">
        <v>0.39583333333333331</v>
      </c>
      <c r="F2" s="1">
        <v>0.60486111111111118</v>
      </c>
      <c r="G2" s="9">
        <v>301.00000000000011</v>
      </c>
    </row>
    <row r="3" spans="1:7" x14ac:dyDescent="0.2">
      <c r="A3" t="s">
        <v>1</v>
      </c>
      <c r="B3" t="s">
        <v>7</v>
      </c>
      <c r="C3">
        <v>1</v>
      </c>
      <c r="D3">
        <v>1788</v>
      </c>
      <c r="E3" s="1">
        <v>0.39583333333333331</v>
      </c>
      <c r="F3" s="1">
        <v>0.58402777777777781</v>
      </c>
      <c r="G3" s="9">
        <v>271.00000000000006</v>
      </c>
    </row>
    <row r="4" spans="1:7" x14ac:dyDescent="0.2">
      <c r="A4" t="s">
        <v>1</v>
      </c>
      <c r="B4" t="s">
        <v>7</v>
      </c>
      <c r="C4">
        <v>1</v>
      </c>
      <c r="D4">
        <v>1789</v>
      </c>
      <c r="E4" s="1">
        <v>0.39583333333333331</v>
      </c>
      <c r="F4" s="1">
        <v>0.58472222222222225</v>
      </c>
      <c r="G4" s="9">
        <v>272.00000000000006</v>
      </c>
    </row>
    <row r="5" spans="1:7" x14ac:dyDescent="0.2">
      <c r="A5" t="s">
        <v>1</v>
      </c>
      <c r="B5" t="s">
        <v>7</v>
      </c>
      <c r="C5">
        <v>2</v>
      </c>
      <c r="D5">
        <v>1814</v>
      </c>
      <c r="E5" s="1">
        <v>0.39583333333333331</v>
      </c>
      <c r="F5" s="1">
        <v>0.54305555555555551</v>
      </c>
      <c r="G5" s="9">
        <v>211.99999999999997</v>
      </c>
    </row>
    <row r="6" spans="1:7" x14ac:dyDescent="0.2">
      <c r="A6" t="s">
        <v>1</v>
      </c>
      <c r="B6" t="s">
        <v>7</v>
      </c>
      <c r="C6">
        <v>2</v>
      </c>
      <c r="D6">
        <v>1816</v>
      </c>
      <c r="E6" s="1">
        <v>0.39583333333333331</v>
      </c>
      <c r="F6" t="s">
        <v>2</v>
      </c>
      <c r="G6" s="9">
        <v>480</v>
      </c>
    </row>
    <row r="7" spans="1:7" x14ac:dyDescent="0.2">
      <c r="A7" t="s">
        <v>1</v>
      </c>
      <c r="B7" t="s">
        <v>7</v>
      </c>
      <c r="C7">
        <v>2</v>
      </c>
      <c r="D7">
        <v>1817</v>
      </c>
      <c r="E7" s="1">
        <v>0.39583333333333331</v>
      </c>
      <c r="F7" s="1">
        <v>0.56388888888888888</v>
      </c>
      <c r="G7" s="9">
        <v>242.00000000000003</v>
      </c>
    </row>
    <row r="8" spans="1:7" x14ac:dyDescent="0.2">
      <c r="A8" t="s">
        <v>8</v>
      </c>
      <c r="B8" t="s">
        <v>7</v>
      </c>
      <c r="C8">
        <v>3</v>
      </c>
      <c r="D8">
        <v>1798</v>
      </c>
      <c r="E8" s="1">
        <v>0.38541666666666669</v>
      </c>
      <c r="F8" s="1">
        <v>0.54375000000000007</v>
      </c>
      <c r="G8" s="9">
        <v>228.00000000000006</v>
      </c>
    </row>
    <row r="9" spans="1:7" x14ac:dyDescent="0.2">
      <c r="A9" t="s">
        <v>8</v>
      </c>
      <c r="B9" t="s">
        <v>7</v>
      </c>
      <c r="C9">
        <v>3</v>
      </c>
      <c r="D9">
        <v>1802</v>
      </c>
      <c r="E9" s="1">
        <v>0.38541666666666669</v>
      </c>
      <c r="F9" s="1">
        <v>0.54375000000000007</v>
      </c>
      <c r="G9" s="9">
        <v>228.00000000000006</v>
      </c>
    </row>
    <row r="10" spans="1:7" x14ac:dyDescent="0.2">
      <c r="A10" t="s">
        <v>8</v>
      </c>
      <c r="B10" t="s">
        <v>7</v>
      </c>
      <c r="C10">
        <v>4</v>
      </c>
      <c r="D10">
        <v>1810</v>
      </c>
      <c r="E10" s="1">
        <v>0.38541666666666669</v>
      </c>
      <c r="F10" s="1">
        <v>0.54513888888888895</v>
      </c>
      <c r="G10" s="9">
        <v>230.00000000000006</v>
      </c>
    </row>
    <row r="11" spans="1:7" x14ac:dyDescent="0.2">
      <c r="A11" t="s">
        <v>8</v>
      </c>
      <c r="B11" t="s">
        <v>7</v>
      </c>
      <c r="C11">
        <v>4</v>
      </c>
      <c r="D11">
        <v>1813</v>
      </c>
      <c r="E11" s="1">
        <v>0.38541666666666669</v>
      </c>
      <c r="F11" s="1">
        <v>0.62569444444444444</v>
      </c>
      <c r="G11" s="9">
        <v>345.99999999999994</v>
      </c>
    </row>
    <row r="12" spans="1:7" x14ac:dyDescent="0.2">
      <c r="A12" t="s">
        <v>8</v>
      </c>
      <c r="B12" t="s">
        <v>15</v>
      </c>
      <c r="C12">
        <v>5</v>
      </c>
      <c r="D12">
        <v>1790</v>
      </c>
      <c r="E12" s="1">
        <v>0.3888888888888889</v>
      </c>
      <c r="F12" t="s">
        <v>2</v>
      </c>
      <c r="G12" s="9">
        <v>480</v>
      </c>
    </row>
    <row r="13" spans="1:7" x14ac:dyDescent="0.2">
      <c r="A13" t="s">
        <v>8</v>
      </c>
      <c r="B13" t="s">
        <v>15</v>
      </c>
      <c r="C13">
        <v>5</v>
      </c>
      <c r="D13">
        <v>1791</v>
      </c>
      <c r="E13" s="1">
        <v>0.3888888888888889</v>
      </c>
      <c r="F13" t="s">
        <v>2</v>
      </c>
      <c r="G13" s="9">
        <v>480</v>
      </c>
    </row>
    <row r="14" spans="1:7" x14ac:dyDescent="0.2">
      <c r="A14" t="s">
        <v>8</v>
      </c>
      <c r="B14" t="s">
        <v>15</v>
      </c>
      <c r="C14">
        <v>5</v>
      </c>
      <c r="D14">
        <v>1793</v>
      </c>
      <c r="E14" s="1">
        <v>0.3888888888888889</v>
      </c>
      <c r="F14" t="s">
        <v>2</v>
      </c>
      <c r="G14" s="9">
        <v>480</v>
      </c>
    </row>
    <row r="15" spans="1:7" x14ac:dyDescent="0.2">
      <c r="A15" t="s">
        <v>8</v>
      </c>
      <c r="B15" t="s">
        <v>15</v>
      </c>
      <c r="C15">
        <v>5</v>
      </c>
      <c r="D15">
        <v>1794</v>
      </c>
      <c r="E15" s="1">
        <v>0.3888888888888889</v>
      </c>
      <c r="F15" s="1">
        <v>0.67013888888888884</v>
      </c>
      <c r="G15" s="9">
        <v>404.99999999999994</v>
      </c>
    </row>
    <row r="16" spans="1:7" x14ac:dyDescent="0.2">
      <c r="A16" t="s">
        <v>8</v>
      </c>
      <c r="B16" t="s">
        <v>15</v>
      </c>
      <c r="C16">
        <v>6</v>
      </c>
      <c r="D16">
        <v>1826</v>
      </c>
      <c r="E16" s="1">
        <v>0.3888888888888889</v>
      </c>
      <c r="F16" s="1">
        <v>0.56458333333333333</v>
      </c>
      <c r="G16" s="9">
        <v>252.99999999999997</v>
      </c>
    </row>
    <row r="17" spans="1:7" x14ac:dyDescent="0.2">
      <c r="A17" t="s">
        <v>8</v>
      </c>
      <c r="B17" t="s">
        <v>15</v>
      </c>
      <c r="C17">
        <v>6</v>
      </c>
      <c r="D17">
        <v>1829</v>
      </c>
      <c r="E17" s="1">
        <v>0.3888888888888889</v>
      </c>
      <c r="F17" s="1">
        <v>0.58472222222222225</v>
      </c>
      <c r="G17" s="9">
        <v>282.00000000000006</v>
      </c>
    </row>
    <row r="18" spans="1:7" x14ac:dyDescent="0.2">
      <c r="A18" t="s">
        <v>8</v>
      </c>
      <c r="B18" t="s">
        <v>15</v>
      </c>
      <c r="C18">
        <v>6</v>
      </c>
      <c r="D18">
        <v>1825</v>
      </c>
      <c r="E18" s="1">
        <v>0.3888888888888889</v>
      </c>
      <c r="F18" s="1">
        <v>0.56527777777777777</v>
      </c>
      <c r="G18" s="9">
        <v>253.99999999999997</v>
      </c>
    </row>
    <row r="19" spans="1:7" x14ac:dyDescent="0.2">
      <c r="A19" t="s">
        <v>1</v>
      </c>
      <c r="B19" t="s">
        <v>7</v>
      </c>
      <c r="C19">
        <v>7</v>
      </c>
      <c r="D19">
        <v>1843</v>
      </c>
      <c r="E19" s="6">
        <v>0.39583333333333331</v>
      </c>
      <c r="F19" s="6">
        <v>0.62222222222222223</v>
      </c>
      <c r="G19">
        <v>326.00000000000006</v>
      </c>
    </row>
    <row r="20" spans="1:7" x14ac:dyDescent="0.2">
      <c r="A20" t="s">
        <v>1</v>
      </c>
      <c r="B20" t="s">
        <v>7</v>
      </c>
      <c r="C20">
        <v>7</v>
      </c>
      <c r="D20">
        <v>1845</v>
      </c>
      <c r="E20" s="6">
        <v>0.39583333333333331</v>
      </c>
      <c r="F20" s="6">
        <v>0.72916666666666663</v>
      </c>
      <c r="G20">
        <v>480</v>
      </c>
    </row>
    <row r="21" spans="1:7" x14ac:dyDescent="0.2">
      <c r="A21" t="s">
        <v>1</v>
      </c>
      <c r="B21" t="s">
        <v>7</v>
      </c>
      <c r="C21">
        <v>7</v>
      </c>
      <c r="D21">
        <v>1848</v>
      </c>
      <c r="E21" s="6">
        <v>0.39583333333333331</v>
      </c>
      <c r="F21" s="6">
        <v>0.54166666666666663</v>
      </c>
      <c r="G21">
        <v>209.99999999999997</v>
      </c>
    </row>
    <row r="22" spans="1:7" x14ac:dyDescent="0.2">
      <c r="A22" t="s">
        <v>1</v>
      </c>
      <c r="B22" t="s">
        <v>7</v>
      </c>
      <c r="C22">
        <v>8</v>
      </c>
      <c r="D22">
        <v>1851</v>
      </c>
      <c r="E22" s="6">
        <v>0.39583333333333331</v>
      </c>
      <c r="F22" s="6">
        <v>0.56319444444444444</v>
      </c>
      <c r="G22">
        <v>241.00000000000003</v>
      </c>
    </row>
    <row r="23" spans="1:7" x14ac:dyDescent="0.2">
      <c r="A23" t="s">
        <v>1</v>
      </c>
      <c r="B23" t="s">
        <v>7</v>
      </c>
      <c r="C23">
        <v>8</v>
      </c>
      <c r="D23">
        <v>1852</v>
      </c>
      <c r="E23" s="6">
        <v>0.39583333333333331</v>
      </c>
      <c r="F23" s="6">
        <v>0.53819444444444442</v>
      </c>
      <c r="G23">
        <v>205</v>
      </c>
    </row>
    <row r="24" spans="1:7" x14ac:dyDescent="0.2">
      <c r="A24" t="s">
        <v>8</v>
      </c>
      <c r="B24" t="s">
        <v>7</v>
      </c>
      <c r="C24">
        <v>9</v>
      </c>
      <c r="D24">
        <v>1830</v>
      </c>
      <c r="E24" s="6">
        <v>0.38750000000000001</v>
      </c>
      <c r="F24" s="6">
        <v>0.72916666666666663</v>
      </c>
      <c r="G24">
        <v>480</v>
      </c>
    </row>
    <row r="25" spans="1:7" x14ac:dyDescent="0.2">
      <c r="A25" t="s">
        <v>8</v>
      </c>
      <c r="B25" t="s">
        <v>7</v>
      </c>
      <c r="C25">
        <v>9</v>
      </c>
      <c r="D25">
        <v>1831</v>
      </c>
      <c r="E25" s="6">
        <v>0.38750000000000001</v>
      </c>
      <c r="F25" s="6">
        <v>0.62291666666666667</v>
      </c>
      <c r="G25">
        <v>339</v>
      </c>
    </row>
    <row r="26" spans="1:7" x14ac:dyDescent="0.2">
      <c r="A26" t="s">
        <v>8</v>
      </c>
      <c r="B26" t="s">
        <v>7</v>
      </c>
      <c r="C26">
        <v>9</v>
      </c>
      <c r="D26">
        <v>1839</v>
      </c>
      <c r="E26" s="6">
        <v>0.38750000000000001</v>
      </c>
      <c r="F26" s="6">
        <v>0.72916666666666663</v>
      </c>
      <c r="G26">
        <v>480</v>
      </c>
    </row>
    <row r="27" spans="1:7" x14ac:dyDescent="0.2">
      <c r="A27" t="s">
        <v>8</v>
      </c>
      <c r="B27" t="s">
        <v>7</v>
      </c>
      <c r="C27">
        <v>10</v>
      </c>
      <c r="D27">
        <v>1850</v>
      </c>
      <c r="E27" s="6">
        <v>0.38750000000000001</v>
      </c>
      <c r="F27" s="6">
        <v>0.58333333333333337</v>
      </c>
      <c r="G27">
        <v>282.00000000000006</v>
      </c>
    </row>
    <row r="28" spans="1:7" x14ac:dyDescent="0.2">
      <c r="A28" t="s">
        <v>8</v>
      </c>
      <c r="B28" t="s">
        <v>7</v>
      </c>
      <c r="C28">
        <v>10</v>
      </c>
      <c r="D28">
        <v>1853</v>
      </c>
      <c r="E28" s="6">
        <v>0.38750000000000001</v>
      </c>
      <c r="F28" s="6">
        <v>0.58333333333333337</v>
      </c>
      <c r="G28">
        <v>282.00000000000006</v>
      </c>
    </row>
    <row r="29" spans="1:7" x14ac:dyDescent="0.2">
      <c r="A29" t="s">
        <v>8</v>
      </c>
      <c r="B29" t="s">
        <v>15</v>
      </c>
      <c r="C29">
        <v>11</v>
      </c>
      <c r="D29">
        <v>1847</v>
      </c>
      <c r="E29" s="7">
        <v>0.39027777777777778</v>
      </c>
      <c r="F29" s="6">
        <v>0.56458333333333333</v>
      </c>
      <c r="G29">
        <v>251</v>
      </c>
    </row>
    <row r="30" spans="1:7" x14ac:dyDescent="0.2">
      <c r="A30" t="s">
        <v>8</v>
      </c>
      <c r="B30" t="s">
        <v>15</v>
      </c>
      <c r="C30">
        <v>11</v>
      </c>
      <c r="D30">
        <v>1844</v>
      </c>
      <c r="E30" s="7">
        <v>0.39027777777777778</v>
      </c>
      <c r="F30" s="6">
        <v>0.54236111111111118</v>
      </c>
      <c r="G30">
        <v>219.00000000000011</v>
      </c>
    </row>
    <row r="31" spans="1:7" x14ac:dyDescent="0.2">
      <c r="A31" t="s">
        <v>8</v>
      </c>
      <c r="B31" t="s">
        <v>15</v>
      </c>
      <c r="C31">
        <v>12</v>
      </c>
      <c r="D31">
        <v>1856</v>
      </c>
      <c r="E31" s="7">
        <v>0.39027777777777778</v>
      </c>
      <c r="F31" s="6">
        <v>0.64166666666666672</v>
      </c>
      <c r="G31">
        <v>362.00000000000006</v>
      </c>
    </row>
    <row r="32" spans="1:7" x14ac:dyDescent="0.2">
      <c r="A32" t="s">
        <v>8</v>
      </c>
      <c r="B32" t="s">
        <v>15</v>
      </c>
      <c r="C32">
        <v>12</v>
      </c>
      <c r="D32">
        <v>1857</v>
      </c>
      <c r="E32" s="7">
        <v>0.39027777777777778</v>
      </c>
      <c r="F32" s="6">
        <v>0.56527777777777777</v>
      </c>
      <c r="G32">
        <v>251.99999999999997</v>
      </c>
    </row>
    <row r="33" spans="1:7" x14ac:dyDescent="0.2">
      <c r="A33" t="s">
        <v>8</v>
      </c>
      <c r="B33" t="s">
        <v>15</v>
      </c>
      <c r="C33">
        <v>12</v>
      </c>
      <c r="D33">
        <v>1858</v>
      </c>
      <c r="E33" s="7">
        <v>0.39027777777777778</v>
      </c>
      <c r="F33" s="6">
        <v>0.72916666666666663</v>
      </c>
      <c r="G33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H33"/>
  <sheetViews>
    <sheetView workbookViewId="0">
      <selection activeCell="C31" sqref="C31"/>
    </sheetView>
  </sheetViews>
  <sheetFormatPr baseColWidth="10" defaultRowHeight="16" x14ac:dyDescent="0.2"/>
  <sheetData>
    <row r="1" spans="1:8" x14ac:dyDescent="0.2">
      <c r="A1" t="s">
        <v>4</v>
      </c>
      <c r="B1" t="s">
        <v>0</v>
      </c>
      <c r="C1" t="s">
        <v>6</v>
      </c>
      <c r="D1" t="s">
        <v>5</v>
      </c>
      <c r="E1" t="s">
        <v>3</v>
      </c>
      <c r="F1" s="8" t="s">
        <v>22</v>
      </c>
      <c r="G1" s="8" t="s">
        <v>23</v>
      </c>
      <c r="H1" s="8" t="s">
        <v>24</v>
      </c>
    </row>
    <row r="2" spans="1:8" x14ac:dyDescent="0.2">
      <c r="A2">
        <v>1</v>
      </c>
      <c r="B2" t="s">
        <v>1</v>
      </c>
      <c r="C2" t="s">
        <v>7</v>
      </c>
      <c r="D2">
        <v>1</v>
      </c>
      <c r="E2">
        <v>1787</v>
      </c>
      <c r="F2" s="1">
        <v>0.46527777777777773</v>
      </c>
      <c r="G2" s="1">
        <v>0.46527777777777773</v>
      </c>
      <c r="H2" s="9">
        <v>0</v>
      </c>
    </row>
    <row r="3" spans="1:8" x14ac:dyDescent="0.2">
      <c r="A3">
        <v>1</v>
      </c>
      <c r="B3" t="s">
        <v>1</v>
      </c>
      <c r="C3" t="s">
        <v>7</v>
      </c>
      <c r="D3">
        <v>1</v>
      </c>
      <c r="E3">
        <v>1788</v>
      </c>
      <c r="F3" s="1">
        <v>0.4680555555555555</v>
      </c>
      <c r="G3" s="1">
        <v>0.49791666666666662</v>
      </c>
      <c r="H3" s="9">
        <v>43.000000000000007</v>
      </c>
    </row>
    <row r="4" spans="1:8" x14ac:dyDescent="0.2">
      <c r="A4">
        <v>1</v>
      </c>
      <c r="B4" t="s">
        <v>1</v>
      </c>
      <c r="C4" t="s">
        <v>7</v>
      </c>
      <c r="D4">
        <v>1</v>
      </c>
      <c r="E4">
        <v>1789</v>
      </c>
      <c r="F4" s="1">
        <v>0.47152777777777777</v>
      </c>
      <c r="G4" t="s">
        <v>2</v>
      </c>
      <c r="H4" s="9">
        <v>60</v>
      </c>
    </row>
    <row r="5" spans="1:8" x14ac:dyDescent="0.2">
      <c r="A5">
        <v>1</v>
      </c>
      <c r="B5" t="s">
        <v>1</v>
      </c>
      <c r="C5" t="s">
        <v>7</v>
      </c>
      <c r="D5">
        <v>2</v>
      </c>
      <c r="E5">
        <v>1814</v>
      </c>
      <c r="F5" s="1">
        <v>0.47500000000000003</v>
      </c>
      <c r="G5" s="1">
        <v>0.4861111111111111</v>
      </c>
      <c r="H5" s="9">
        <v>15.999999999999943</v>
      </c>
    </row>
    <row r="6" spans="1:8" x14ac:dyDescent="0.2">
      <c r="A6">
        <v>1</v>
      </c>
      <c r="B6" t="s">
        <v>1</v>
      </c>
      <c r="C6" t="s">
        <v>7</v>
      </c>
      <c r="D6">
        <v>2</v>
      </c>
      <c r="E6">
        <v>1816</v>
      </c>
      <c r="F6" s="1">
        <v>0.4777777777777778</v>
      </c>
      <c r="G6" s="1">
        <v>0.47847222222222219</v>
      </c>
      <c r="H6" s="9">
        <v>0.99999999999991651</v>
      </c>
    </row>
    <row r="7" spans="1:8" x14ac:dyDescent="0.2">
      <c r="A7">
        <v>1</v>
      </c>
      <c r="B7" t="s">
        <v>1</v>
      </c>
      <c r="C7" t="s">
        <v>7</v>
      </c>
      <c r="D7">
        <v>2</v>
      </c>
      <c r="E7">
        <v>1817</v>
      </c>
      <c r="F7" s="1">
        <v>0.47986111111111113</v>
      </c>
      <c r="G7" s="1">
        <v>0.48055555555555557</v>
      </c>
      <c r="H7" s="9">
        <v>0.99999999999999645</v>
      </c>
    </row>
    <row r="8" spans="1:8" x14ac:dyDescent="0.2">
      <c r="A8">
        <v>1</v>
      </c>
      <c r="B8" t="s">
        <v>8</v>
      </c>
      <c r="C8" t="s">
        <v>7</v>
      </c>
      <c r="D8">
        <v>3</v>
      </c>
      <c r="E8">
        <v>1798</v>
      </c>
      <c r="F8" s="1">
        <v>0.41805555555555557</v>
      </c>
      <c r="G8" t="s">
        <v>2</v>
      </c>
      <c r="H8" s="9">
        <v>60</v>
      </c>
    </row>
    <row r="9" spans="1:8" x14ac:dyDescent="0.2">
      <c r="A9">
        <v>1</v>
      </c>
      <c r="B9" t="s">
        <v>8</v>
      </c>
      <c r="C9" t="s">
        <v>7</v>
      </c>
      <c r="D9">
        <v>3</v>
      </c>
      <c r="E9">
        <v>1802</v>
      </c>
      <c r="F9" s="1">
        <v>0.42222222222222222</v>
      </c>
      <c r="G9" s="1">
        <v>0.42222222222222222</v>
      </c>
      <c r="H9" s="9">
        <v>0</v>
      </c>
    </row>
    <row r="10" spans="1:8" x14ac:dyDescent="0.2">
      <c r="A10">
        <v>1</v>
      </c>
      <c r="B10" t="s">
        <v>8</v>
      </c>
      <c r="C10" t="s">
        <v>7</v>
      </c>
      <c r="D10">
        <v>4</v>
      </c>
      <c r="E10">
        <v>1810</v>
      </c>
      <c r="F10" s="1">
        <v>0.42638888888888887</v>
      </c>
      <c r="G10" s="1">
        <v>0.4458333333333333</v>
      </c>
      <c r="H10" s="9">
        <v>27.999999999999979</v>
      </c>
    </row>
    <row r="11" spans="1:8" x14ac:dyDescent="0.2">
      <c r="A11">
        <v>1</v>
      </c>
      <c r="B11" t="s">
        <v>8</v>
      </c>
      <c r="C11" t="s">
        <v>7</v>
      </c>
      <c r="D11">
        <v>4</v>
      </c>
      <c r="E11">
        <v>1813</v>
      </c>
      <c r="F11" s="1">
        <v>0.42986111111111108</v>
      </c>
      <c r="G11" t="s">
        <v>2</v>
      </c>
      <c r="H11" s="9">
        <v>60</v>
      </c>
    </row>
    <row r="12" spans="1:8" x14ac:dyDescent="0.2">
      <c r="A12">
        <v>1</v>
      </c>
      <c r="B12" t="s">
        <v>8</v>
      </c>
      <c r="C12" t="s">
        <v>15</v>
      </c>
      <c r="D12">
        <v>5</v>
      </c>
      <c r="E12">
        <v>1790</v>
      </c>
      <c r="F12" s="1">
        <v>0.44930555555555557</v>
      </c>
      <c r="G12" s="1">
        <v>0.46458333333333335</v>
      </c>
      <c r="H12" s="9">
        <v>22</v>
      </c>
    </row>
    <row r="13" spans="1:8" x14ac:dyDescent="0.2">
      <c r="A13">
        <v>1</v>
      </c>
      <c r="B13" t="s">
        <v>8</v>
      </c>
      <c r="C13" t="s">
        <v>15</v>
      </c>
      <c r="D13">
        <v>5</v>
      </c>
      <c r="E13">
        <v>1791</v>
      </c>
      <c r="F13" s="1">
        <v>0.45347222222222222</v>
      </c>
      <c r="G13" s="1">
        <v>0.47013888888888888</v>
      </c>
      <c r="H13" s="9">
        <v>23.999999999999993</v>
      </c>
    </row>
    <row r="14" spans="1:8" x14ac:dyDescent="0.2">
      <c r="A14">
        <v>1</v>
      </c>
      <c r="B14" t="s">
        <v>8</v>
      </c>
      <c r="C14" t="s">
        <v>15</v>
      </c>
      <c r="D14">
        <v>5</v>
      </c>
      <c r="E14">
        <v>1793</v>
      </c>
      <c r="F14" s="1">
        <v>0.45555555555555555</v>
      </c>
      <c r="G14" s="1">
        <v>0.47638888888888892</v>
      </c>
      <c r="H14" s="9">
        <v>30.000000000000053</v>
      </c>
    </row>
    <row r="15" spans="1:8" x14ac:dyDescent="0.2">
      <c r="A15">
        <v>1</v>
      </c>
      <c r="B15" t="s">
        <v>8</v>
      </c>
      <c r="C15" t="s">
        <v>15</v>
      </c>
      <c r="D15">
        <v>5</v>
      </c>
      <c r="E15">
        <v>1794</v>
      </c>
      <c r="F15" s="1">
        <v>0.45902777777777781</v>
      </c>
      <c r="G15" s="1">
        <v>0.46597222222222223</v>
      </c>
      <c r="H15" s="9">
        <v>9.9999999999999645</v>
      </c>
    </row>
    <row r="16" spans="1:8" x14ac:dyDescent="0.2">
      <c r="A16">
        <v>1</v>
      </c>
      <c r="B16" t="s">
        <v>8</v>
      </c>
      <c r="C16" t="s">
        <v>15</v>
      </c>
      <c r="D16">
        <v>6</v>
      </c>
      <c r="E16">
        <v>1826</v>
      </c>
      <c r="F16" s="1">
        <v>0.43402777777777773</v>
      </c>
      <c r="G16" s="1">
        <v>0.43402777777777773</v>
      </c>
      <c r="H16" s="9">
        <v>0</v>
      </c>
    </row>
    <row r="17" spans="1:8" x14ac:dyDescent="0.2">
      <c r="A17">
        <v>1</v>
      </c>
      <c r="B17" t="s">
        <v>8</v>
      </c>
      <c r="C17" t="s">
        <v>15</v>
      </c>
      <c r="D17">
        <v>6</v>
      </c>
      <c r="E17">
        <v>1829</v>
      </c>
      <c r="F17" s="1">
        <v>0.43958333333333338</v>
      </c>
      <c r="G17" s="1">
        <v>0.45555555555555555</v>
      </c>
      <c r="H17" s="9">
        <v>22.999999999999918</v>
      </c>
    </row>
    <row r="18" spans="1:8" x14ac:dyDescent="0.2">
      <c r="A18">
        <v>1</v>
      </c>
      <c r="B18" t="s">
        <v>8</v>
      </c>
      <c r="C18" t="s">
        <v>15</v>
      </c>
      <c r="D18">
        <v>6</v>
      </c>
      <c r="E18">
        <v>1825</v>
      </c>
      <c r="F18" s="1">
        <v>0.44305555555555554</v>
      </c>
      <c r="G18" s="1">
        <v>0.45277777777777778</v>
      </c>
      <c r="H18" s="9">
        <v>14.00000000000003</v>
      </c>
    </row>
    <row r="19" spans="1:8" x14ac:dyDescent="0.2">
      <c r="A19">
        <v>2</v>
      </c>
      <c r="B19" t="s">
        <v>1</v>
      </c>
      <c r="C19" t="s">
        <v>7</v>
      </c>
      <c r="D19">
        <v>7</v>
      </c>
      <c r="E19">
        <v>1843</v>
      </c>
      <c r="F19" s="1">
        <v>0.44166666666666665</v>
      </c>
      <c r="G19" s="1">
        <v>0.44236111111111115</v>
      </c>
      <c r="H19" s="2">
        <v>1.0000000000000764</v>
      </c>
    </row>
    <row r="20" spans="1:8" x14ac:dyDescent="0.2">
      <c r="A20">
        <v>2</v>
      </c>
      <c r="B20" t="s">
        <v>1</v>
      </c>
      <c r="C20" t="s">
        <v>7</v>
      </c>
      <c r="D20">
        <v>7</v>
      </c>
      <c r="E20">
        <v>1845</v>
      </c>
      <c r="F20" s="1">
        <v>0.44513888888888892</v>
      </c>
      <c r="G20" s="1">
        <v>0.4465277777777778</v>
      </c>
      <c r="H20" s="2">
        <v>1.9999999999999929</v>
      </c>
    </row>
    <row r="21" spans="1:8" x14ac:dyDescent="0.2">
      <c r="A21">
        <v>2</v>
      </c>
      <c r="B21" t="s">
        <v>1</v>
      </c>
      <c r="C21" t="s">
        <v>7</v>
      </c>
      <c r="D21">
        <v>7</v>
      </c>
      <c r="E21">
        <v>1848</v>
      </c>
      <c r="F21" s="1">
        <v>0.44791666666666669</v>
      </c>
      <c r="G21" t="s">
        <v>2</v>
      </c>
      <c r="H21" s="2">
        <v>60</v>
      </c>
    </row>
    <row r="22" spans="1:8" x14ac:dyDescent="0.2">
      <c r="A22">
        <v>2</v>
      </c>
      <c r="B22" t="s">
        <v>1</v>
      </c>
      <c r="C22" t="s">
        <v>7</v>
      </c>
      <c r="D22">
        <v>8</v>
      </c>
      <c r="E22">
        <v>1851</v>
      </c>
      <c r="F22" s="1">
        <v>0.45208333333333334</v>
      </c>
      <c r="G22" s="1">
        <v>0.47500000000000003</v>
      </c>
      <c r="H22" s="2">
        <v>33.000000000000043</v>
      </c>
    </row>
    <row r="23" spans="1:8" x14ac:dyDescent="0.2">
      <c r="A23">
        <v>2</v>
      </c>
      <c r="B23" t="s">
        <v>1</v>
      </c>
      <c r="C23" t="s">
        <v>7</v>
      </c>
      <c r="D23">
        <v>8</v>
      </c>
      <c r="E23">
        <v>1852</v>
      </c>
      <c r="F23" s="1">
        <v>0.4548611111111111</v>
      </c>
      <c r="G23" s="1">
        <v>0.45555555555555555</v>
      </c>
      <c r="H23" s="2">
        <v>0.99999999999999645</v>
      </c>
    </row>
    <row r="24" spans="1:8" x14ac:dyDescent="0.2">
      <c r="A24">
        <v>2</v>
      </c>
      <c r="B24" t="s">
        <v>8</v>
      </c>
      <c r="C24" t="s">
        <v>7</v>
      </c>
      <c r="D24">
        <v>9</v>
      </c>
      <c r="E24">
        <v>1830</v>
      </c>
      <c r="F24" s="1">
        <v>0.41180555555555554</v>
      </c>
      <c r="G24" s="1">
        <v>0.42708333333333331</v>
      </c>
      <c r="H24" s="2">
        <v>22</v>
      </c>
    </row>
    <row r="25" spans="1:8" x14ac:dyDescent="0.2">
      <c r="A25">
        <v>2</v>
      </c>
      <c r="B25" t="s">
        <v>8</v>
      </c>
      <c r="C25" t="s">
        <v>7</v>
      </c>
      <c r="D25">
        <v>9</v>
      </c>
      <c r="E25">
        <v>1831</v>
      </c>
      <c r="F25" s="1">
        <v>0.4145833333333333</v>
      </c>
      <c r="G25" s="1">
        <v>0.43611111111111112</v>
      </c>
      <c r="H25" s="2">
        <v>31.00000000000005</v>
      </c>
    </row>
    <row r="26" spans="1:8" x14ac:dyDescent="0.2">
      <c r="A26">
        <v>2</v>
      </c>
      <c r="B26" t="s">
        <v>8</v>
      </c>
      <c r="C26" t="s">
        <v>7</v>
      </c>
      <c r="D26">
        <v>9</v>
      </c>
      <c r="E26">
        <v>1839</v>
      </c>
      <c r="F26" s="1">
        <v>0.41805555555555557</v>
      </c>
      <c r="G26" s="1">
        <v>0.43263888888888885</v>
      </c>
      <c r="H26" s="2">
        <v>20.999999999999925</v>
      </c>
    </row>
    <row r="27" spans="1:8" x14ac:dyDescent="0.2">
      <c r="A27">
        <v>2</v>
      </c>
      <c r="B27" t="s">
        <v>8</v>
      </c>
      <c r="C27" t="s">
        <v>7</v>
      </c>
      <c r="D27">
        <v>10</v>
      </c>
      <c r="E27">
        <v>1850</v>
      </c>
      <c r="F27" s="1">
        <v>0.40277777777777773</v>
      </c>
      <c r="G27" s="1">
        <v>0.43194444444444446</v>
      </c>
      <c r="H27" s="2">
        <v>42.000000000000092</v>
      </c>
    </row>
    <row r="28" spans="1:8" x14ac:dyDescent="0.2">
      <c r="A28">
        <v>2</v>
      </c>
      <c r="B28" t="s">
        <v>8</v>
      </c>
      <c r="C28" t="s">
        <v>7</v>
      </c>
      <c r="D28">
        <v>10</v>
      </c>
      <c r="E28">
        <v>1853</v>
      </c>
      <c r="F28" s="1">
        <v>0.40763888888888888</v>
      </c>
      <c r="G28" t="s">
        <v>2</v>
      </c>
      <c r="H28" s="2">
        <v>60</v>
      </c>
    </row>
    <row r="29" spans="1:8" x14ac:dyDescent="0.2">
      <c r="A29">
        <v>2</v>
      </c>
      <c r="B29" t="s">
        <v>8</v>
      </c>
      <c r="C29" t="s">
        <v>15</v>
      </c>
      <c r="D29">
        <v>11</v>
      </c>
      <c r="E29">
        <v>1847</v>
      </c>
      <c r="F29" s="5">
        <v>0.42222222222222222</v>
      </c>
      <c r="G29" s="5">
        <v>0.42777777777777781</v>
      </c>
      <c r="H29" s="2">
        <v>8.0000000000000515</v>
      </c>
    </row>
    <row r="30" spans="1:8" x14ac:dyDescent="0.2">
      <c r="A30">
        <v>2</v>
      </c>
      <c r="B30" t="s">
        <v>8</v>
      </c>
      <c r="C30" t="s">
        <v>15</v>
      </c>
      <c r="D30">
        <v>11</v>
      </c>
      <c r="E30">
        <v>1844</v>
      </c>
      <c r="F30" s="1">
        <v>0.42569444444444443</v>
      </c>
      <c r="G30" s="1">
        <v>0.45277777777777778</v>
      </c>
      <c r="H30" s="2">
        <v>39.000000000000021</v>
      </c>
    </row>
    <row r="31" spans="1:8" x14ac:dyDescent="0.2">
      <c r="A31">
        <v>2</v>
      </c>
      <c r="B31" t="s">
        <v>8</v>
      </c>
      <c r="C31" t="s">
        <v>15</v>
      </c>
      <c r="D31">
        <v>12</v>
      </c>
      <c r="E31">
        <v>1856</v>
      </c>
      <c r="F31" s="1">
        <v>0.4291666666666667</v>
      </c>
      <c r="G31" s="1">
        <v>0.4548611111111111</v>
      </c>
      <c r="H31" s="2">
        <v>36.99999999999995</v>
      </c>
    </row>
    <row r="32" spans="1:8" x14ac:dyDescent="0.2">
      <c r="A32">
        <v>2</v>
      </c>
      <c r="B32" t="s">
        <v>8</v>
      </c>
      <c r="C32" t="s">
        <v>15</v>
      </c>
      <c r="D32">
        <v>12</v>
      </c>
      <c r="E32">
        <v>1857</v>
      </c>
      <c r="F32" s="1">
        <v>0.43263888888888885</v>
      </c>
      <c r="G32" s="1">
        <v>0.43958333333333338</v>
      </c>
      <c r="H32" s="2">
        <v>10.000000000000124</v>
      </c>
    </row>
    <row r="33" spans="1:8" x14ac:dyDescent="0.2">
      <c r="A33">
        <v>2</v>
      </c>
      <c r="B33" t="s">
        <v>8</v>
      </c>
      <c r="C33" t="s">
        <v>15</v>
      </c>
      <c r="D33">
        <v>12</v>
      </c>
      <c r="E33">
        <v>1858</v>
      </c>
      <c r="F33" s="1">
        <v>0.4368055555555555</v>
      </c>
      <c r="G33" s="1" t="s">
        <v>2</v>
      </c>
      <c r="H33" s="2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0F5D-A8F4-E244-A0A6-5459D48DFEC2}">
  <dimension ref="A1:E33"/>
  <sheetViews>
    <sheetView workbookViewId="0">
      <selection activeCell="G23" sqref="G2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s="8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 s="8">
        <v>40.5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 s="8">
        <v>50.5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 s="8">
        <v>47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 s="8">
        <v>33.5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 s="8">
        <v>37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 s="8">
        <v>31.5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 s="8">
        <v>33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 s="8">
        <v>34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 s="8">
        <v>30.5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 s="8">
        <v>34</v>
      </c>
    </row>
    <row r="12" spans="1:5" x14ac:dyDescent="0.2">
      <c r="A12" t="s">
        <v>8</v>
      </c>
      <c r="B12" t="s">
        <v>15</v>
      </c>
      <c r="C12">
        <v>5</v>
      </c>
      <c r="D12">
        <v>1790</v>
      </c>
      <c r="E12" s="8">
        <v>32.5</v>
      </c>
    </row>
    <row r="13" spans="1:5" x14ac:dyDescent="0.2">
      <c r="A13" t="s">
        <v>8</v>
      </c>
      <c r="B13" t="s">
        <v>15</v>
      </c>
      <c r="C13">
        <v>5</v>
      </c>
      <c r="D13">
        <v>1791</v>
      </c>
      <c r="E13" s="8">
        <v>28.5</v>
      </c>
    </row>
    <row r="14" spans="1:5" x14ac:dyDescent="0.2">
      <c r="A14" t="s">
        <v>8</v>
      </c>
      <c r="B14" t="s">
        <v>15</v>
      </c>
      <c r="C14">
        <v>5</v>
      </c>
      <c r="D14">
        <v>1793</v>
      </c>
      <c r="E14" s="8">
        <v>28.5</v>
      </c>
    </row>
    <row r="15" spans="1:5" x14ac:dyDescent="0.2">
      <c r="A15" t="s">
        <v>8</v>
      </c>
      <c r="B15" t="s">
        <v>15</v>
      </c>
      <c r="C15">
        <v>5</v>
      </c>
      <c r="D15">
        <v>1794</v>
      </c>
      <c r="E15" s="8">
        <v>31.5</v>
      </c>
    </row>
    <row r="16" spans="1:5" x14ac:dyDescent="0.2">
      <c r="A16" t="s">
        <v>8</v>
      </c>
      <c r="B16" t="s">
        <v>15</v>
      </c>
      <c r="C16">
        <v>6</v>
      </c>
      <c r="D16">
        <v>1826</v>
      </c>
      <c r="E16" s="8">
        <v>43</v>
      </c>
    </row>
    <row r="17" spans="1:5" x14ac:dyDescent="0.2">
      <c r="A17" t="s">
        <v>8</v>
      </c>
      <c r="B17" t="s">
        <v>15</v>
      </c>
      <c r="C17">
        <v>6</v>
      </c>
      <c r="D17">
        <v>1829</v>
      </c>
      <c r="E17" s="8">
        <v>35</v>
      </c>
    </row>
    <row r="18" spans="1:5" x14ac:dyDescent="0.2">
      <c r="A18" t="s">
        <v>8</v>
      </c>
      <c r="B18" t="s">
        <v>15</v>
      </c>
      <c r="C18">
        <v>6</v>
      </c>
      <c r="D18">
        <v>1825</v>
      </c>
      <c r="E18" s="8">
        <v>29.5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 s="8">
        <v>41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 s="8">
        <v>33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 s="8">
        <v>40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 s="8">
        <v>41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 s="8">
        <v>37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 s="8">
        <v>39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 s="8">
        <v>38.5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 s="8">
        <v>28.5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 s="8">
        <v>33.5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 s="8">
        <v>34.5</v>
      </c>
    </row>
    <row r="29" spans="1:5" x14ac:dyDescent="0.2">
      <c r="A29" t="s">
        <v>8</v>
      </c>
      <c r="B29" t="s">
        <v>15</v>
      </c>
      <c r="C29">
        <v>11</v>
      </c>
      <c r="D29">
        <v>1847</v>
      </c>
      <c r="E29" s="8">
        <v>29</v>
      </c>
    </row>
    <row r="30" spans="1:5" x14ac:dyDescent="0.2">
      <c r="A30" t="s">
        <v>8</v>
      </c>
      <c r="B30" t="s">
        <v>15</v>
      </c>
      <c r="C30">
        <v>11</v>
      </c>
      <c r="D30">
        <v>1844</v>
      </c>
      <c r="E30" s="8">
        <v>34</v>
      </c>
    </row>
    <row r="31" spans="1:5" x14ac:dyDescent="0.2">
      <c r="A31" t="s">
        <v>8</v>
      </c>
      <c r="B31" t="s">
        <v>15</v>
      </c>
      <c r="C31">
        <v>12</v>
      </c>
      <c r="D31">
        <v>1856</v>
      </c>
      <c r="E31" s="8">
        <v>37.5</v>
      </c>
    </row>
    <row r="32" spans="1:5" x14ac:dyDescent="0.2">
      <c r="A32" t="s">
        <v>8</v>
      </c>
      <c r="B32" t="s">
        <v>15</v>
      </c>
      <c r="C32">
        <v>12</v>
      </c>
      <c r="D32">
        <v>1857</v>
      </c>
      <c r="E32" s="8">
        <v>35.5</v>
      </c>
    </row>
    <row r="33" spans="1:5" x14ac:dyDescent="0.2">
      <c r="A33" t="s">
        <v>8</v>
      </c>
      <c r="B33" t="s">
        <v>15</v>
      </c>
      <c r="C33">
        <v>12</v>
      </c>
      <c r="D33">
        <v>1858</v>
      </c>
      <c r="E33" s="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Beam_time</vt:lpstr>
      <vt:lpstr>Beam_steps</vt:lpstr>
      <vt:lpstr>Pole</vt:lpstr>
      <vt:lpstr>Wirehang</vt:lpstr>
      <vt:lpstr>Adhesive_removal</vt:lpstr>
      <vt:lpstr>Hindlimb</vt:lpstr>
      <vt:lpstr>Fecal_output</vt:lpstr>
      <vt:lpstr>Fecal_score</vt:lpstr>
      <vt:lpstr>Water_content</vt:lpstr>
      <vt:lpstr>Gut_transit</vt:lpstr>
      <vt:lpstr>Bead_exp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Moiseyenko, Anastasiya (Ana)</cp:lastModifiedBy>
  <dcterms:created xsi:type="dcterms:W3CDTF">2024-01-09T23:21:32Z</dcterms:created>
  <dcterms:modified xsi:type="dcterms:W3CDTF">2025-08-19T00:29:05Z</dcterms:modified>
</cp:coreProperties>
</file>