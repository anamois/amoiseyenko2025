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ltech-my.sharepoint.com/personal/anamois_caltech_edu/Documents/Caltech/MZ Lab/Writing/Paper/Data availability/Volatile fatty acids data/"/>
    </mc:Choice>
  </mc:AlternateContent>
  <xr:revisionPtr revIDLastSave="35" documentId="13_ncr:1_{D6B4A200-35C1-462A-96CB-85815A6E40FE}" xr6:coauthVersionLast="47" xr6:coauthVersionMax="47" xr10:uidLastSave="{381E8C94-F004-514B-9D69-DBDA0BC0014B}"/>
  <bookViews>
    <workbookView xWindow="300" yWindow="500" windowWidth="28480" windowHeight="17500" firstSheet="1" activeTab="1" xr2:uid="{A440BE12-6817-41E2-ADAE-658F40708A10}"/>
  </bookViews>
  <sheets>
    <sheet name="Definitions" sheetId="15" r:id="rId1"/>
    <sheet name="Normalized Data" sheetId="1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4" l="1"/>
  <c r="N5" i="14"/>
  <c r="N4" i="14"/>
  <c r="N3" i="14"/>
  <c r="H2" i="14" s="1"/>
  <c r="N2" i="14"/>
  <c r="N1" i="14"/>
  <c r="H15" i="14" l="1"/>
  <c r="H24" i="14"/>
  <c r="H21" i="14"/>
  <c r="H9" i="14"/>
  <c r="J9" i="14" s="1"/>
  <c r="H18" i="14"/>
  <c r="H106" i="14"/>
  <c r="J106" i="14" s="1"/>
  <c r="H42" i="14"/>
  <c r="H81" i="14"/>
  <c r="H13" i="14"/>
  <c r="H51" i="14"/>
  <c r="H6" i="14"/>
  <c r="H7" i="14"/>
  <c r="H67" i="14"/>
  <c r="H58" i="14"/>
  <c r="J58" i="14" s="1"/>
  <c r="H103" i="14"/>
  <c r="H112" i="14"/>
  <c r="J112" i="14" s="1"/>
  <c r="H93" i="14"/>
  <c r="H12" i="14"/>
  <c r="H73" i="14"/>
  <c r="H61" i="14"/>
  <c r="H4" i="14"/>
  <c r="H5" i="14"/>
  <c r="H16" i="14"/>
  <c r="H33" i="14"/>
  <c r="H53" i="14"/>
  <c r="J21" i="14"/>
  <c r="H34" i="14"/>
  <c r="H76" i="14"/>
  <c r="H20" i="14"/>
  <c r="H52" i="14"/>
  <c r="H48" i="14"/>
  <c r="H55" i="14"/>
  <c r="H108" i="14"/>
  <c r="J108" i="14" s="1"/>
  <c r="H36" i="14"/>
  <c r="H87" i="14"/>
  <c r="H71" i="14"/>
  <c r="H27" i="14"/>
  <c r="H115" i="14"/>
  <c r="H31" i="14"/>
  <c r="H28" i="14"/>
  <c r="H46" i="14"/>
  <c r="H3" i="14"/>
  <c r="H40" i="14"/>
  <c r="H59" i="14"/>
  <c r="H39" i="14"/>
  <c r="H77" i="14"/>
  <c r="H79" i="14"/>
  <c r="H22" i="14"/>
  <c r="H50" i="14"/>
  <c r="H84" i="14"/>
  <c r="H85" i="14"/>
  <c r="H23" i="14"/>
  <c r="J23" i="14" s="1"/>
  <c r="H62" i="14"/>
  <c r="J62" i="14" s="1"/>
  <c r="H96" i="14"/>
  <c r="J96" i="14" s="1"/>
  <c r="H120" i="14"/>
  <c r="J120" i="14" s="1"/>
  <c r="H123" i="14"/>
  <c r="J123" i="14" s="1"/>
  <c r="H126" i="14"/>
  <c r="J126" i="14" s="1"/>
  <c r="H128" i="14"/>
  <c r="J128" i="14" s="1"/>
  <c r="H131" i="14"/>
  <c r="J131" i="14" s="1"/>
  <c r="H134" i="14"/>
  <c r="J134" i="14" s="1"/>
  <c r="H57" i="14"/>
  <c r="J57" i="14" s="1"/>
  <c r="H91" i="14"/>
  <c r="J91" i="14" s="1"/>
  <c r="H29" i="14"/>
  <c r="J29" i="14" s="1"/>
  <c r="H69" i="14"/>
  <c r="J69" i="14" s="1"/>
  <c r="H99" i="14"/>
  <c r="J99" i="14" s="1"/>
  <c r="H129" i="14"/>
  <c r="J129" i="14" s="1"/>
  <c r="H132" i="14"/>
  <c r="J132" i="14" s="1"/>
  <c r="H135" i="14"/>
  <c r="J135" i="14" s="1"/>
  <c r="H11" i="14"/>
  <c r="H14" i="14"/>
  <c r="H44" i="14"/>
  <c r="H75" i="14"/>
  <c r="H54" i="14"/>
  <c r="H60" i="14"/>
  <c r="H66" i="14"/>
  <c r="H80" i="14"/>
  <c r="H49" i="14"/>
  <c r="H74" i="14"/>
  <c r="H102" i="14"/>
  <c r="H105" i="14"/>
  <c r="H19" i="14"/>
  <c r="J19" i="14" s="1"/>
  <c r="H111" i="14"/>
  <c r="J111" i="14" s="1"/>
  <c r="H86" i="14"/>
  <c r="J86" i="14" s="1"/>
  <c r="J24" i="14"/>
  <c r="H64" i="14"/>
  <c r="J64" i="14" s="1"/>
  <c r="H97" i="14"/>
  <c r="J97" i="14" s="1"/>
  <c r="H35" i="14"/>
  <c r="J35" i="14" s="1"/>
  <c r="H72" i="14"/>
  <c r="J72" i="14" s="1"/>
  <c r="H101" i="14"/>
  <c r="J101" i="14" s="1"/>
  <c r="H92" i="14"/>
  <c r="J92" i="14" s="1"/>
  <c r="H70" i="14"/>
  <c r="J70" i="14" s="1"/>
  <c r="H100" i="14"/>
  <c r="J100" i="14" s="1"/>
  <c r="H10" i="14"/>
  <c r="H43" i="14"/>
  <c r="H37" i="14"/>
  <c r="H17" i="14"/>
  <c r="H47" i="14"/>
  <c r="H68" i="14"/>
  <c r="H82" i="14"/>
  <c r="H88" i="14"/>
  <c r="H94" i="14"/>
  <c r="H104" i="14"/>
  <c r="H107" i="14"/>
  <c r="J107" i="14" s="1"/>
  <c r="H109" i="14"/>
  <c r="J109" i="14" s="1"/>
  <c r="H114" i="14"/>
  <c r="J114" i="14" s="1"/>
  <c r="H116" i="14"/>
  <c r="J116" i="14" s="1"/>
  <c r="H118" i="14"/>
  <c r="J118" i="14" s="1"/>
  <c r="H121" i="14"/>
  <c r="J121" i="14" s="1"/>
  <c r="H124" i="14"/>
  <c r="J124" i="14" s="1"/>
  <c r="H25" i="14"/>
  <c r="H65" i="14"/>
  <c r="J65" i="14" s="1"/>
  <c r="H98" i="14"/>
  <c r="J98" i="14" s="1"/>
  <c r="H41" i="14"/>
  <c r="H26" i="14"/>
  <c r="H32" i="14"/>
  <c r="H38" i="14"/>
  <c r="H45" i="14"/>
  <c r="H63" i="14"/>
  <c r="H78" i="14"/>
  <c r="H83" i="14"/>
  <c r="H89" i="14"/>
  <c r="H95" i="14"/>
  <c r="H56" i="14"/>
  <c r="H90" i="14"/>
  <c r="J90" i="14" s="1"/>
  <c r="H110" i="14"/>
  <c r="J110" i="14" s="1"/>
  <c r="H113" i="14"/>
  <c r="J113" i="14" s="1"/>
  <c r="H117" i="14"/>
  <c r="J117" i="14" s="1"/>
  <c r="H119" i="14"/>
  <c r="J119" i="14" s="1"/>
  <c r="H122" i="14"/>
  <c r="J122" i="14" s="1"/>
  <c r="H125" i="14"/>
  <c r="J125" i="14" s="1"/>
  <c r="H127" i="14"/>
  <c r="J127" i="14" s="1"/>
  <c r="H130" i="14"/>
  <c r="J130" i="14" s="1"/>
  <c r="H133" i="14"/>
  <c r="J133" i="14" s="1"/>
  <c r="J22" i="14" l="1"/>
  <c r="J115" i="14"/>
  <c r="J30" i="14"/>
  <c r="J25" i="14"/>
  <c r="J83" i="14"/>
  <c r="J14" i="14"/>
  <c r="J67" i="14"/>
  <c r="J60" i="14"/>
  <c r="J87" i="14"/>
  <c r="J74" i="14"/>
  <c r="J54" i="14"/>
  <c r="J18" i="14"/>
  <c r="J31" i="14"/>
  <c r="J16" i="14"/>
  <c r="J61" i="14"/>
  <c r="J93" i="14"/>
  <c r="J103" i="14"/>
  <c r="J13" i="14"/>
  <c r="J50" i="14"/>
  <c r="J59" i="14"/>
  <c r="J5" i="14"/>
  <c r="J81" i="14"/>
  <c r="J68" i="14"/>
  <c r="J47" i="14"/>
  <c r="J80" i="14"/>
  <c r="J11" i="14"/>
  <c r="J40" i="14"/>
  <c r="J36" i="14"/>
  <c r="J48" i="14"/>
  <c r="J42" i="14"/>
  <c r="J55" i="14"/>
  <c r="J51" i="14"/>
  <c r="J38" i="14"/>
  <c r="J17" i="14"/>
  <c r="J79" i="14"/>
  <c r="J73" i="14"/>
  <c r="J71" i="14"/>
  <c r="J41" i="14"/>
  <c r="J34" i="14"/>
  <c r="J7" i="14"/>
  <c r="J56" i="14"/>
  <c r="J43" i="14"/>
  <c r="J10" i="14"/>
  <c r="J78" i="14"/>
  <c r="J63" i="14"/>
  <c r="J53" i="14"/>
  <c r="J66" i="14"/>
  <c r="J84" i="14"/>
  <c r="J46" i="14"/>
  <c r="J76" i="14"/>
  <c r="J12" i="14"/>
  <c r="J104" i="14"/>
  <c r="J37" i="14"/>
  <c r="J28" i="14"/>
  <c r="J49" i="14"/>
  <c r="J32" i="14"/>
  <c r="J26" i="14"/>
  <c r="J94" i="14"/>
  <c r="J105" i="14"/>
  <c r="J85" i="14"/>
  <c r="J3" i="14"/>
  <c r="J95" i="14"/>
  <c r="J45" i="14"/>
  <c r="J88" i="14"/>
  <c r="J102" i="14"/>
  <c r="J75" i="14"/>
  <c r="J77" i="14"/>
  <c r="J52" i="14"/>
  <c r="J33" i="14"/>
  <c r="J4" i="14"/>
  <c r="J89" i="14"/>
  <c r="J15" i="14"/>
  <c r="J82" i="14"/>
  <c r="J44" i="14"/>
  <c r="J39" i="14"/>
  <c r="J27" i="14"/>
  <c r="J20" i="14"/>
  <c r="J6" i="14"/>
  <c r="J2" i="14"/>
</calcChain>
</file>

<file path=xl/sharedStrings.xml><?xml version="1.0" encoding="utf-8"?>
<sst xmlns="http://schemas.openxmlformats.org/spreadsheetml/2006/main" count="713" uniqueCount="65">
  <si>
    <t>Formate</t>
  </si>
  <si>
    <t>Acetate</t>
  </si>
  <si>
    <t>Propionate</t>
  </si>
  <si>
    <t>Isobutyrate</t>
  </si>
  <si>
    <t>Butyrate</t>
  </si>
  <si>
    <t>Isovalerate</t>
  </si>
  <si>
    <t>Caproate</t>
  </si>
  <si>
    <t>VFA</t>
  </si>
  <si>
    <t>8Ab-F</t>
  </si>
  <si>
    <t>7Ab-F</t>
  </si>
  <si>
    <t>8Aa-F</t>
  </si>
  <si>
    <t>4Ac-F</t>
  </si>
  <si>
    <t>2Ab-F</t>
  </si>
  <si>
    <t>5Ac-F</t>
  </si>
  <si>
    <t>7Aa-F</t>
  </si>
  <si>
    <t>4Ab-F</t>
  </si>
  <si>
    <t>3Ac-F</t>
  </si>
  <si>
    <t>6Ac-F</t>
  </si>
  <si>
    <t>6Aa-F</t>
  </si>
  <si>
    <t>5Ab-F</t>
  </si>
  <si>
    <t>2Ac-F</t>
  </si>
  <si>
    <t>6Ab-F</t>
  </si>
  <si>
    <t>1Aa-F</t>
  </si>
  <si>
    <t>1Ab-F</t>
  </si>
  <si>
    <t>8Ac-F</t>
  </si>
  <si>
    <t>7Ac-F</t>
  </si>
  <si>
    <t>4Aa-F</t>
  </si>
  <si>
    <t>3Ab-F</t>
  </si>
  <si>
    <t>Sample</t>
  </si>
  <si>
    <t>mM</t>
  </si>
  <si>
    <t>3Aa-F</t>
  </si>
  <si>
    <t>2Aa-F</t>
  </si>
  <si>
    <t>Sample Name</t>
  </si>
  <si>
    <t>Experimental Group</t>
  </si>
  <si>
    <t>Group w/in Experiment</t>
  </si>
  <si>
    <t>Sample Type</t>
  </si>
  <si>
    <t>A</t>
  </si>
  <si>
    <t>a</t>
  </si>
  <si>
    <t>F</t>
  </si>
  <si>
    <t>b</t>
  </si>
  <si>
    <t>c</t>
  </si>
  <si>
    <t>Conversion</t>
  </si>
  <si>
    <t>1 L/1000 mL</t>
  </si>
  <si>
    <t>1 Mol/ 1000 mMol</t>
  </si>
  <si>
    <t>1mL/ 0.1g Wet Feces</t>
  </si>
  <si>
    <t>e- eq/g COD</t>
  </si>
  <si>
    <t>1000 me- eq/ 1 e- eq</t>
  </si>
  <si>
    <t>Dilution (Feces)</t>
  </si>
  <si>
    <t>mmol/g wet feces</t>
  </si>
  <si>
    <t>BQL</t>
  </si>
  <si>
    <t>Abbreviation</t>
  </si>
  <si>
    <t>Definition</t>
  </si>
  <si>
    <t>VFA:</t>
  </si>
  <si>
    <t>Volatile Fatty Acids (Short and medium fatty acids)</t>
  </si>
  <si>
    <t>sCOD:</t>
  </si>
  <si>
    <t>Soluble Chemical Oxygen Demand. This is a measure of the mass of oxygen needed to oxidize the organic carbon in the soluble fraction of a sample (wet feces, cecal contents, or serum).</t>
  </si>
  <si>
    <t>BQL:</t>
  </si>
  <si>
    <t>Below Quantification Limit. A specific VFA was detected but the concentration was below what can be confidently quantified.</t>
  </si>
  <si>
    <r>
      <rPr>
        <b/>
        <sz val="11"/>
        <color rgb="FF000000"/>
        <rFont val="Calibri"/>
        <family val="2"/>
        <scheme val="minor"/>
      </rPr>
      <t>A note about the use of sCOD:</t>
    </r>
    <r>
      <rPr>
        <sz val="11"/>
        <color rgb="FF000000"/>
        <rFont val="Calibri"/>
        <family val="2"/>
        <scheme val="minor"/>
      </rPr>
      <t xml:space="preserve">
Because the concentration of VFAs can vary depending on the moisture content of a sample and make comparisons difficult, we normalize VFA concentrations to the sCOD in each sample.
These normalized values give us the fraction of sCOD a specific VFA contributed to in each sample and makes those values comparable across all samples.</t>
    </r>
  </si>
  <si>
    <t>sCOD (mg/g wet feces)</t>
  </si>
  <si>
    <t>Normalized VFA (nmol/mg sCOD)</t>
  </si>
  <si>
    <t>Key</t>
  </si>
  <si>
    <t>Wildtype</t>
  </si>
  <si>
    <t>Thy1-ASO-Control</t>
  </si>
  <si>
    <t>Thy1-ASO-F. prausnitzii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</si>
</sst>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0" borderId="1" xfId="0" applyFont="1" applyBorder="1"/>
    <xf numFmtId="0" fontId="0" fillId="0" borderId="1" xfId="0" applyBorder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1" fillId="0" borderId="2" xfId="0" applyFont="1" applyBorder="1"/>
    <xf numFmtId="0" fontId="1" fillId="0" borderId="3" xfId="0" applyFont="1" applyBorder="1"/>
    <xf numFmtId="0" fontId="4" fillId="0" borderId="4" xfId="0" applyFont="1" applyBorder="1" applyAlignment="1">
      <alignment horizontal="left"/>
    </xf>
    <xf numFmtId="0" fontId="0" fillId="0" borderId="5" xfId="0" applyBorder="1"/>
    <xf numFmtId="0" fontId="4" fillId="0" borderId="6" xfId="0" applyFont="1" applyBorder="1" applyAlignment="1">
      <alignment horizontal="left"/>
    </xf>
    <xf numFmtId="0" fontId="0" fillId="0" borderId="7" xfId="0" applyBorder="1"/>
    <xf numFmtId="0" fontId="1" fillId="0" borderId="0" xfId="0" applyFont="1"/>
    <xf numFmtId="2" fontId="2" fillId="0" borderId="0" xfId="1" applyNumberFormat="1"/>
    <xf numFmtId="0" fontId="5" fillId="0" borderId="0" xfId="0" applyFont="1" applyAlignment="1">
      <alignment horizontal="left" wrapText="1"/>
    </xf>
  </cellXfs>
  <cellStyles count="2">
    <cellStyle name="Normal" xfId="0" builtinId="0"/>
    <cellStyle name="Normal 2" xfId="1" xr:uid="{40A8770F-13AC-429D-B7DA-C1E465D575B4}"/>
  </cellStyles>
  <dxfs count="5">
    <dxf>
      <numFmt numFmtId="2" formatCode="0.00"/>
    </dxf>
    <dxf>
      <numFmt numFmtId="165" formatCode="0.0"/>
    </dxf>
    <dxf>
      <numFmt numFmtId="2" formatCode="0.00"/>
    </dxf>
    <dxf>
      <numFmt numFmtId="2" formatCode="0.0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304800</xdr:colOff>
      <xdr:row>22</xdr:row>
      <xdr:rowOff>133350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CE5E35D-81E1-4ACE-AF84-7B00E6C4F9FC}"/>
            </a:ext>
          </a:extLst>
        </xdr:cNvPr>
        <xdr:cNvSpPr txBox="1"/>
      </xdr:nvSpPr>
      <xdr:spPr>
        <a:xfrm>
          <a:off x="14678025" y="4733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80EEAEF-F394-49B2-840E-C7F9BDA044A8}" name="Table48" displayName="Table48" ref="A1:J136" totalsRowShown="0" headerRowDxfId="4">
  <autoFilter ref="A1:J136" xr:uid="{580EEAEF-F394-49B2-840E-C7F9BDA044A8}"/>
  <sortState xmlns:xlrd2="http://schemas.microsoft.com/office/spreadsheetml/2017/richdata2" ref="A2:J136">
    <sortCondition ref="B1:B136"/>
  </sortState>
  <tableColumns count="10">
    <tableColumn id="12" xr3:uid="{EF31435E-7EBC-4183-8968-6F1D3F62DEE2}" name="Sample Name"/>
    <tableColumn id="13" xr3:uid="{3F4C53E1-956E-4994-A878-F87A5FE5055D}" name="Experimental Group"/>
    <tableColumn id="14" xr3:uid="{A9356D8D-0E52-493E-968A-21DECD4A50F3}" name="Group w/in Experiment"/>
    <tableColumn id="15" xr3:uid="{FFAEF4E4-67B1-4315-A48F-CD8E800A72E7}" name="Sample Type"/>
    <tableColumn id="1" xr3:uid="{BB2278A5-BBEF-49A3-9625-6F798FF80CC5}" name="Sample"/>
    <tableColumn id="2" xr3:uid="{E77C8021-EF88-475B-BD35-202582E598CE}" name="VFA"/>
    <tableColumn id="5" xr3:uid="{5C90B147-0AB3-43B7-898A-4D3E6CE564CD}" name="mM" dataDxfId="3"/>
    <tableColumn id="7" xr3:uid="{705F9729-836E-43D5-884F-838605B53AB0}" name="mmol/g wet feces" dataDxfId="2">
      <calculatedColumnFormula>Table48[[#This Row],[mM]]*N$3*N$1</calculatedColumnFormula>
    </tableColumn>
    <tableColumn id="8" xr3:uid="{12F2CAF0-F2D7-420C-A00D-8FE099886B39}" name="sCOD (mg/g wet feces)" dataDxfId="1"/>
    <tableColumn id="11" xr3:uid="{9BBFBEB7-3342-419E-AE85-6BEC6DE3026B}" name="Normalized VFA (nmol/mg sCOD)" dataDxfId="0">
      <calculatedColumnFormula>Table48[[#This Row],[mmol/g wet feces]]/Table48[[#This Row],[sCOD (mg/g wet feces)]]*1000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A3C8B-4085-436A-BF7D-B6EF801C36CB}">
  <dimension ref="A1:B6"/>
  <sheetViews>
    <sheetView workbookViewId="0">
      <selection activeCell="D16" sqref="D16"/>
    </sheetView>
  </sheetViews>
  <sheetFormatPr baseColWidth="10" defaultColWidth="8.83203125" defaultRowHeight="15" x14ac:dyDescent="0.2"/>
  <cols>
    <col min="1" max="1" width="12.5" bestFit="1" customWidth="1"/>
    <col min="2" max="2" width="166.5" customWidth="1"/>
  </cols>
  <sheetData>
    <row r="1" spans="1:2" x14ac:dyDescent="0.2">
      <c r="A1" s="6" t="s">
        <v>50</v>
      </c>
      <c r="B1" s="7" t="s">
        <v>51</v>
      </c>
    </row>
    <row r="2" spans="1:2" x14ac:dyDescent="0.2">
      <c r="A2" s="8" t="s">
        <v>52</v>
      </c>
      <c r="B2" s="9" t="s">
        <v>53</v>
      </c>
    </row>
    <row r="3" spans="1:2" x14ac:dyDescent="0.2">
      <c r="A3" s="8" t="s">
        <v>54</v>
      </c>
      <c r="B3" s="9" t="s">
        <v>55</v>
      </c>
    </row>
    <row r="4" spans="1:2" ht="16" thickBot="1" x14ac:dyDescent="0.25">
      <c r="A4" s="10" t="s">
        <v>56</v>
      </c>
      <c r="B4" s="11" t="s">
        <v>57</v>
      </c>
    </row>
    <row r="6" spans="1:2" ht="46.5" customHeight="1" x14ac:dyDescent="0.2">
      <c r="A6" s="14" t="s">
        <v>58</v>
      </c>
      <c r="B6" s="14"/>
    </row>
  </sheetData>
  <mergeCells count="1">
    <mergeCell ref="A6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0F17E-EC17-4502-ABEF-2F527D34E0C6}">
  <dimension ref="A1:N136"/>
  <sheetViews>
    <sheetView tabSelected="1" topLeftCell="C1" zoomScale="120" zoomScaleNormal="120" workbookViewId="0">
      <selection activeCell="L12" sqref="L12"/>
    </sheetView>
  </sheetViews>
  <sheetFormatPr baseColWidth="10" defaultColWidth="8.83203125" defaultRowHeight="15" x14ac:dyDescent="0.2"/>
  <cols>
    <col min="1" max="1" width="15.6640625" bestFit="1" customWidth="1"/>
    <col min="2" max="2" width="21.5" bestFit="1" customWidth="1"/>
    <col min="3" max="3" width="24.5" bestFit="1" customWidth="1"/>
    <col min="4" max="4" width="14.5" bestFit="1" customWidth="1"/>
    <col min="5" max="5" width="9.83203125" bestFit="1" customWidth="1"/>
    <col min="6" max="6" width="11.1640625" bestFit="1" customWidth="1"/>
    <col min="7" max="7" width="6.83203125" style="4" customWidth="1"/>
    <col min="8" max="8" width="19.5" style="4" customWidth="1"/>
    <col min="9" max="9" width="23.83203125" style="3" customWidth="1"/>
    <col min="10" max="10" width="36.1640625" style="4" bestFit="1" customWidth="1"/>
    <col min="11" max="11" width="10.6640625" style="4" customWidth="1"/>
    <col min="12" max="13" width="15.1640625" bestFit="1" customWidth="1"/>
    <col min="14" max="14" width="15.83203125" bestFit="1" customWidth="1"/>
    <col min="15" max="15" width="19.33203125" bestFit="1" customWidth="1"/>
    <col min="16" max="16" width="6" bestFit="1" customWidth="1"/>
    <col min="18" max="18" width="18.1640625" bestFit="1" customWidth="1"/>
    <col min="19" max="19" width="12.6640625" bestFit="1" customWidth="1"/>
    <col min="20" max="20" width="18.1640625" bestFit="1" customWidth="1"/>
    <col min="21" max="21" width="12" bestFit="1" customWidth="1"/>
  </cols>
  <sheetData>
    <row r="1" spans="1:14" ht="16" x14ac:dyDescent="0.2">
      <c r="A1" s="12" t="s">
        <v>32</v>
      </c>
      <c r="B1" s="12" t="s">
        <v>33</v>
      </c>
      <c r="C1" s="12" t="s">
        <v>34</v>
      </c>
      <c r="D1" s="12" t="s">
        <v>35</v>
      </c>
      <c r="E1" t="s">
        <v>28</v>
      </c>
      <c r="F1" t="s">
        <v>7</v>
      </c>
      <c r="G1" s="4" t="s">
        <v>29</v>
      </c>
      <c r="H1" s="4" t="s">
        <v>48</v>
      </c>
      <c r="I1" s="5" t="s">
        <v>59</v>
      </c>
      <c r="J1" s="13" t="s">
        <v>60</v>
      </c>
      <c r="K1" s="13"/>
      <c r="L1" s="1" t="s">
        <v>41</v>
      </c>
      <c r="M1" s="2" t="s">
        <v>42</v>
      </c>
      <c r="N1" s="2">
        <f>1/1000</f>
        <v>1E-3</v>
      </c>
    </row>
    <row r="2" spans="1:14" x14ac:dyDescent="0.2">
      <c r="A2">
        <v>1</v>
      </c>
      <c r="B2" t="s">
        <v>36</v>
      </c>
      <c r="C2" t="s">
        <v>37</v>
      </c>
      <c r="D2" t="s">
        <v>38</v>
      </c>
      <c r="E2" t="s">
        <v>22</v>
      </c>
      <c r="F2" t="s">
        <v>1</v>
      </c>
      <c r="G2" s="4">
        <v>12.822145380339482</v>
      </c>
      <c r="H2" s="4">
        <f>Table48[[#This Row],[mM]]*N$3*N$1</f>
        <v>0.12822145380339481</v>
      </c>
      <c r="I2" s="5">
        <v>51.400000000000006</v>
      </c>
      <c r="J2" s="4">
        <f>Table48[[#This Row],[mmol/g wet feces]]/Table48[[#This Row],[sCOD (mg/g wet feces)]]*1000</f>
        <v>2.4945808132956184</v>
      </c>
      <c r="L2" s="1" t="s">
        <v>41</v>
      </c>
      <c r="M2" s="2" t="s">
        <v>43</v>
      </c>
      <c r="N2" s="2">
        <f>1/1000</f>
        <v>1E-3</v>
      </c>
    </row>
    <row r="3" spans="1:14" x14ac:dyDescent="0.2">
      <c r="A3">
        <v>1</v>
      </c>
      <c r="B3" t="s">
        <v>36</v>
      </c>
      <c r="C3" t="s">
        <v>37</v>
      </c>
      <c r="D3" t="s">
        <v>38</v>
      </c>
      <c r="E3" t="s">
        <v>22</v>
      </c>
      <c r="F3" t="s">
        <v>4</v>
      </c>
      <c r="G3" s="4">
        <v>2.1966571759199773</v>
      </c>
      <c r="H3" s="4">
        <f>Table48[[#This Row],[mM]]*N$3*N$1</f>
        <v>2.1966571759199773E-2</v>
      </c>
      <c r="I3" s="5">
        <v>51.400000000000006</v>
      </c>
      <c r="J3" s="4">
        <f>Table48[[#This Row],[mmol/g wet feces]]/Table48[[#This Row],[sCOD (mg/g wet feces)]]*1000</f>
        <v>0.42736520932295269</v>
      </c>
      <c r="L3" s="1" t="s">
        <v>47</v>
      </c>
      <c r="M3" s="2" t="s">
        <v>44</v>
      </c>
      <c r="N3" s="2">
        <f>1/0.1</f>
        <v>10</v>
      </c>
    </row>
    <row r="4" spans="1:14" x14ac:dyDescent="0.2">
      <c r="A4">
        <v>1</v>
      </c>
      <c r="B4" t="s">
        <v>36</v>
      </c>
      <c r="C4" t="s">
        <v>37</v>
      </c>
      <c r="D4" t="s">
        <v>38</v>
      </c>
      <c r="E4" t="s">
        <v>22</v>
      </c>
      <c r="F4" t="s">
        <v>6</v>
      </c>
      <c r="G4" s="4">
        <v>11.180621097111697</v>
      </c>
      <c r="H4" s="4">
        <f>Table48[[#This Row],[mM]]*N$3*N$1</f>
        <v>0.11180621097111697</v>
      </c>
      <c r="I4" s="5">
        <v>51.400000000000006</v>
      </c>
      <c r="J4" s="4">
        <f>Table48[[#This Row],[mmol/g wet feces]]/Table48[[#This Row],[sCOD (mg/g wet feces)]]*1000</f>
        <v>2.1752181122785399</v>
      </c>
      <c r="L4" s="1" t="s">
        <v>41</v>
      </c>
      <c r="M4" s="2" t="s">
        <v>45</v>
      </c>
      <c r="N4" s="2">
        <f>1/8</f>
        <v>0.125</v>
      </c>
    </row>
    <row r="5" spans="1:14" x14ac:dyDescent="0.2">
      <c r="A5">
        <v>1</v>
      </c>
      <c r="B5" t="s">
        <v>36</v>
      </c>
      <c r="C5" t="s">
        <v>37</v>
      </c>
      <c r="D5" t="s">
        <v>38</v>
      </c>
      <c r="E5" t="s">
        <v>22</v>
      </c>
      <c r="F5" t="s">
        <v>0</v>
      </c>
      <c r="G5" s="4">
        <v>3.1758386710216548</v>
      </c>
      <c r="H5" s="4">
        <f>Table48[[#This Row],[mM]]*N$3*N$1</f>
        <v>3.1758386710216552E-2</v>
      </c>
      <c r="I5" s="5">
        <v>51.400000000000006</v>
      </c>
      <c r="J5" s="4">
        <f>Table48[[#This Row],[mmol/g wet feces]]/Table48[[#This Row],[sCOD (mg/g wet feces)]]*1000</f>
        <v>0.61786744572405738</v>
      </c>
      <c r="L5" s="1" t="s">
        <v>41</v>
      </c>
      <c r="M5" s="2" t="s">
        <v>46</v>
      </c>
      <c r="N5" s="2">
        <f>1000/1</f>
        <v>1000</v>
      </c>
    </row>
    <row r="6" spans="1:14" x14ac:dyDescent="0.2">
      <c r="A6">
        <v>1</v>
      </c>
      <c r="B6" t="s">
        <v>36</v>
      </c>
      <c r="C6" t="s">
        <v>37</v>
      </c>
      <c r="D6" t="s">
        <v>38</v>
      </c>
      <c r="E6" t="s">
        <v>22</v>
      </c>
      <c r="F6" t="s">
        <v>3</v>
      </c>
      <c r="G6" s="4">
        <v>24.868222507408976</v>
      </c>
      <c r="H6" s="4">
        <f>Table48[[#This Row],[mM]]*N$3*N$1</f>
        <v>0.24868222507408977</v>
      </c>
      <c r="I6" s="5">
        <v>51.400000000000006</v>
      </c>
      <c r="J6" s="4">
        <f>Table48[[#This Row],[mmol/g wet feces]]/Table48[[#This Row],[sCOD (mg/g wet feces)]]*1000</f>
        <v>4.8381755850990222</v>
      </c>
    </row>
    <row r="7" spans="1:14" x14ac:dyDescent="0.2">
      <c r="A7">
        <v>1</v>
      </c>
      <c r="B7" t="s">
        <v>36</v>
      </c>
      <c r="C7" t="s">
        <v>37</v>
      </c>
      <c r="D7" t="s">
        <v>38</v>
      </c>
      <c r="E7" t="s">
        <v>22</v>
      </c>
      <c r="F7" t="s">
        <v>5</v>
      </c>
      <c r="G7" s="4">
        <v>3.883635243457201</v>
      </c>
      <c r="H7" s="4">
        <f>Table48[[#This Row],[mM]]*N$3*N$1</f>
        <v>3.8836352434572008E-2</v>
      </c>
      <c r="I7" s="5">
        <v>51.400000000000006</v>
      </c>
      <c r="J7" s="4">
        <f>Table48[[#This Row],[mmol/g wet feces]]/Table48[[#This Row],[sCOD (mg/g wet feces)]]*1000</f>
        <v>0.75557105903836574</v>
      </c>
      <c r="L7" s="12" t="s">
        <v>61</v>
      </c>
    </row>
    <row r="8" spans="1:14" x14ac:dyDescent="0.2">
      <c r="A8">
        <v>1</v>
      </c>
      <c r="B8" t="s">
        <v>36</v>
      </c>
      <c r="C8" t="s">
        <v>37</v>
      </c>
      <c r="D8" t="s">
        <v>38</v>
      </c>
      <c r="E8" t="s">
        <v>22</v>
      </c>
      <c r="F8" t="s">
        <v>2</v>
      </c>
      <c r="G8" s="4" t="s">
        <v>49</v>
      </c>
      <c r="I8"/>
      <c r="L8" s="12" t="s">
        <v>37</v>
      </c>
      <c r="M8" t="s">
        <v>62</v>
      </c>
    </row>
    <row r="9" spans="1:14" x14ac:dyDescent="0.2">
      <c r="A9">
        <v>2</v>
      </c>
      <c r="B9" t="s">
        <v>36</v>
      </c>
      <c r="C9" t="s">
        <v>37</v>
      </c>
      <c r="D9" t="s">
        <v>38</v>
      </c>
      <c r="E9" t="s">
        <v>31</v>
      </c>
      <c r="F9" t="s">
        <v>1</v>
      </c>
      <c r="G9" s="4">
        <v>1.7430725542715899</v>
      </c>
      <c r="H9" s="4">
        <f>Table48[[#This Row],[mM]]*N$3*N$1</f>
        <v>1.7430725542715898E-2</v>
      </c>
      <c r="I9" s="5">
        <v>59.8</v>
      </c>
      <c r="J9" s="4">
        <f>Table48[[#This Row],[mmol/g wet feces]]/Table48[[#This Row],[sCOD (mg/g wet feces)]]*1000</f>
        <v>0.29148370472769064</v>
      </c>
      <c r="L9" s="12" t="s">
        <v>39</v>
      </c>
      <c r="M9" s="4" t="s">
        <v>63</v>
      </c>
    </row>
    <row r="10" spans="1:14" x14ac:dyDescent="0.2">
      <c r="A10">
        <v>2</v>
      </c>
      <c r="B10" t="s">
        <v>36</v>
      </c>
      <c r="C10" t="s">
        <v>37</v>
      </c>
      <c r="D10" t="s">
        <v>38</v>
      </c>
      <c r="E10" t="s">
        <v>31</v>
      </c>
      <c r="F10" t="s">
        <v>4</v>
      </c>
      <c r="G10" s="4">
        <v>0.62210657209447495</v>
      </c>
      <c r="H10" s="4">
        <f>Table48[[#This Row],[mM]]*N$3*N$1</f>
        <v>6.2210657209447497E-3</v>
      </c>
      <c r="I10" s="5">
        <v>59.8</v>
      </c>
      <c r="J10" s="4">
        <f>Table48[[#This Row],[mmol/g wet feces]]/Table48[[#This Row],[sCOD (mg/g wet feces)]]*1000</f>
        <v>0.10403119934690218</v>
      </c>
      <c r="L10" s="12" t="s">
        <v>40</v>
      </c>
      <c r="M10" t="s">
        <v>64</v>
      </c>
    </row>
    <row r="11" spans="1:14" x14ac:dyDescent="0.2">
      <c r="A11">
        <v>1</v>
      </c>
      <c r="B11" t="s">
        <v>36</v>
      </c>
      <c r="C11" t="s">
        <v>39</v>
      </c>
      <c r="D11" t="s">
        <v>38</v>
      </c>
      <c r="E11" t="s">
        <v>23</v>
      </c>
      <c r="F11" t="s">
        <v>6</v>
      </c>
      <c r="G11" s="4">
        <v>8.9744132552777813</v>
      </c>
      <c r="H11" s="4">
        <f>Table48[[#This Row],[mM]]*N$3*N$1</f>
        <v>8.9744132552777814E-2</v>
      </c>
      <c r="I11" s="5">
        <v>75.199999999999989</v>
      </c>
      <c r="J11" s="4">
        <f>Table48[[#This Row],[mmol/g wet feces]]/Table48[[#This Row],[sCOD (mg/g wet feces)]]*1000</f>
        <v>1.1934060179890669</v>
      </c>
    </row>
    <row r="12" spans="1:14" x14ac:dyDescent="0.2">
      <c r="A12">
        <v>1</v>
      </c>
      <c r="B12" t="s">
        <v>36</v>
      </c>
      <c r="C12" t="s">
        <v>39</v>
      </c>
      <c r="D12" t="s">
        <v>38</v>
      </c>
      <c r="E12" t="s">
        <v>23</v>
      </c>
      <c r="F12" t="s">
        <v>0</v>
      </c>
      <c r="G12" s="4">
        <v>11.450856972377464</v>
      </c>
      <c r="H12" s="4">
        <f>Table48[[#This Row],[mM]]*N$3*N$1</f>
        <v>0.11450856972377464</v>
      </c>
      <c r="I12" s="5">
        <v>75.199999999999989</v>
      </c>
      <c r="J12" s="4">
        <f>Table48[[#This Row],[mmol/g wet feces]]/Table48[[#This Row],[sCOD (mg/g wet feces)]]*1000</f>
        <v>1.5227203420714717</v>
      </c>
    </row>
    <row r="13" spans="1:14" x14ac:dyDescent="0.2">
      <c r="A13">
        <v>1</v>
      </c>
      <c r="B13" t="s">
        <v>36</v>
      </c>
      <c r="C13" t="s">
        <v>39</v>
      </c>
      <c r="D13" t="s">
        <v>38</v>
      </c>
      <c r="E13" t="s">
        <v>23</v>
      </c>
      <c r="F13" t="s">
        <v>3</v>
      </c>
      <c r="G13" s="4">
        <v>35.339150998768382</v>
      </c>
      <c r="H13" s="4">
        <f>Table48[[#This Row],[mM]]*N$3*N$1</f>
        <v>0.35339150998768382</v>
      </c>
      <c r="I13" s="5">
        <v>75.199999999999989</v>
      </c>
      <c r="J13" s="4">
        <f>Table48[[#This Row],[mmol/g wet feces]]/Table48[[#This Row],[sCOD (mg/g wet feces)]]*1000</f>
        <v>4.6993551860064349</v>
      </c>
    </row>
    <row r="14" spans="1:14" x14ac:dyDescent="0.2">
      <c r="A14">
        <v>2</v>
      </c>
      <c r="B14" t="s">
        <v>36</v>
      </c>
      <c r="C14" t="s">
        <v>37</v>
      </c>
      <c r="D14" t="s">
        <v>38</v>
      </c>
      <c r="E14" t="s">
        <v>31</v>
      </c>
      <c r="F14" t="s">
        <v>5</v>
      </c>
      <c r="G14" s="4">
        <v>1.0093279789553731</v>
      </c>
      <c r="H14" s="4">
        <f>Table48[[#This Row],[mM]]*N$3*N$1</f>
        <v>1.009327978955373E-2</v>
      </c>
      <c r="I14" s="5">
        <v>59.8</v>
      </c>
      <c r="J14" s="4">
        <f>Table48[[#This Row],[mmol/g wet feces]]/Table48[[#This Row],[sCOD (mg/g wet feces)]]*1000</f>
        <v>0.16878394296912591</v>
      </c>
    </row>
    <row r="15" spans="1:14" x14ac:dyDescent="0.2">
      <c r="A15">
        <v>3</v>
      </c>
      <c r="B15" t="s">
        <v>36</v>
      </c>
      <c r="C15" t="s">
        <v>37</v>
      </c>
      <c r="D15" t="s">
        <v>38</v>
      </c>
      <c r="E15" t="s">
        <v>30</v>
      </c>
      <c r="F15" t="s">
        <v>1</v>
      </c>
      <c r="G15" s="4">
        <v>4.8531778698621872</v>
      </c>
      <c r="H15" s="4">
        <f>Table48[[#This Row],[mM]]*N$3*N$1</f>
        <v>4.8531778698621873E-2</v>
      </c>
      <c r="I15" s="5">
        <v>52.2</v>
      </c>
      <c r="J15" s="4">
        <f>Table48[[#This Row],[mmol/g wet feces]]/Table48[[#This Row],[sCOD (mg/g wet feces)]]*1000</f>
        <v>0.92972756127628109</v>
      </c>
    </row>
    <row r="16" spans="1:14" x14ac:dyDescent="0.2">
      <c r="A16">
        <v>3</v>
      </c>
      <c r="B16" t="s">
        <v>36</v>
      </c>
      <c r="C16" t="s">
        <v>37</v>
      </c>
      <c r="D16" t="s">
        <v>38</v>
      </c>
      <c r="E16" t="s">
        <v>30</v>
      </c>
      <c r="F16" t="s">
        <v>4</v>
      </c>
      <c r="G16" s="4">
        <v>0.64299460504052219</v>
      </c>
      <c r="H16" s="4">
        <f>Table48[[#This Row],[mM]]*N$3*N$1</f>
        <v>6.4299460504052223E-3</v>
      </c>
      <c r="I16" s="5">
        <v>52.2</v>
      </c>
      <c r="J16" s="4">
        <f>Table48[[#This Row],[mmol/g wet feces]]/Table48[[#This Row],[sCOD (mg/g wet feces)]]*1000</f>
        <v>0.12317904311121114</v>
      </c>
    </row>
    <row r="17" spans="1:10" x14ac:dyDescent="0.2">
      <c r="A17">
        <v>3</v>
      </c>
      <c r="B17" t="s">
        <v>36</v>
      </c>
      <c r="C17" t="s">
        <v>37</v>
      </c>
      <c r="D17" t="s">
        <v>38</v>
      </c>
      <c r="E17" t="s">
        <v>30</v>
      </c>
      <c r="F17" t="s">
        <v>5</v>
      </c>
      <c r="G17" s="4">
        <v>1.7513792177042882</v>
      </c>
      <c r="H17" s="4">
        <f>Table48[[#This Row],[mM]]*N$3*N$1</f>
        <v>1.7513792177042881E-2</v>
      </c>
      <c r="I17" s="5">
        <v>52.2</v>
      </c>
      <c r="J17" s="4">
        <f>Table48[[#This Row],[mmol/g wet feces]]/Table48[[#This Row],[sCOD (mg/g wet feces)]]*1000</f>
        <v>0.33551326009660692</v>
      </c>
    </row>
    <row r="18" spans="1:10" x14ac:dyDescent="0.2">
      <c r="A18">
        <v>4</v>
      </c>
      <c r="B18" t="s">
        <v>36</v>
      </c>
      <c r="C18" t="s">
        <v>37</v>
      </c>
      <c r="D18" t="s">
        <v>38</v>
      </c>
      <c r="E18" t="s">
        <v>26</v>
      </c>
      <c r="F18" t="s">
        <v>1</v>
      </c>
      <c r="G18" s="4">
        <v>12.155304639826049</v>
      </c>
      <c r="H18" s="4">
        <f>Table48[[#This Row],[mM]]*N$3*N$1</f>
        <v>0.12155304639826049</v>
      </c>
      <c r="I18" s="5">
        <v>71.399999999999991</v>
      </c>
      <c r="J18" s="4">
        <f>Table48[[#This Row],[mmol/g wet feces]]/Table48[[#This Row],[sCOD (mg/g wet feces)]]*1000</f>
        <v>1.7024236190232565</v>
      </c>
    </row>
    <row r="19" spans="1:10" x14ac:dyDescent="0.2">
      <c r="A19">
        <v>6</v>
      </c>
      <c r="B19" t="s">
        <v>36</v>
      </c>
      <c r="C19" t="s">
        <v>37</v>
      </c>
      <c r="D19" t="s">
        <v>38</v>
      </c>
      <c r="E19" t="s">
        <v>18</v>
      </c>
      <c r="F19" t="s">
        <v>4</v>
      </c>
      <c r="G19" s="4">
        <v>0.4433626953727296</v>
      </c>
      <c r="H19" s="4">
        <f>Table48[[#This Row],[mM]]*N$3*N$1</f>
        <v>4.4336269537272955E-3</v>
      </c>
      <c r="I19" s="5">
        <v>67.400000000000006</v>
      </c>
      <c r="J19" s="4">
        <f>Table48[[#This Row],[mmol/g wet feces]]/Table48[[#This Row],[sCOD (mg/g wet feces)]]*1000</f>
        <v>6.5780815337200219E-2</v>
      </c>
    </row>
    <row r="20" spans="1:10" x14ac:dyDescent="0.2">
      <c r="A20">
        <v>4</v>
      </c>
      <c r="B20" t="s">
        <v>36</v>
      </c>
      <c r="C20" t="s">
        <v>37</v>
      </c>
      <c r="D20" t="s">
        <v>38</v>
      </c>
      <c r="E20" t="s">
        <v>26</v>
      </c>
      <c r="F20" t="s">
        <v>5</v>
      </c>
      <c r="G20" s="4">
        <v>3.0285951868854832</v>
      </c>
      <c r="H20" s="4">
        <f>Table48[[#This Row],[mM]]*N$3*N$1</f>
        <v>3.028595186885483E-2</v>
      </c>
      <c r="I20" s="5">
        <v>71.399999999999991</v>
      </c>
      <c r="J20" s="4">
        <f>Table48[[#This Row],[mmol/g wet feces]]/Table48[[#This Row],[sCOD (mg/g wet feces)]]*1000</f>
        <v>0.4241729953621125</v>
      </c>
    </row>
    <row r="21" spans="1:10" x14ac:dyDescent="0.2">
      <c r="A21">
        <v>6</v>
      </c>
      <c r="B21" t="s">
        <v>36</v>
      </c>
      <c r="C21" t="s">
        <v>37</v>
      </c>
      <c r="D21" t="s">
        <v>38</v>
      </c>
      <c r="E21" t="s">
        <v>18</v>
      </c>
      <c r="F21" t="s">
        <v>1</v>
      </c>
      <c r="G21" s="4">
        <v>4.6999260182498137</v>
      </c>
      <c r="H21" s="4">
        <f>Table48[[#This Row],[mM]]*N$3*N$1</f>
        <v>4.6999260182498136E-2</v>
      </c>
      <c r="I21" s="5">
        <v>67.400000000000006</v>
      </c>
      <c r="J21" s="4">
        <f>Table48[[#This Row],[mmol/g wet feces]]/Table48[[#This Row],[sCOD (mg/g wet feces)]]*1000</f>
        <v>0.6973184003338001</v>
      </c>
    </row>
    <row r="22" spans="1:10" x14ac:dyDescent="0.2">
      <c r="A22">
        <v>7</v>
      </c>
      <c r="B22" t="s">
        <v>36</v>
      </c>
      <c r="C22" t="s">
        <v>37</v>
      </c>
      <c r="D22" t="s">
        <v>38</v>
      </c>
      <c r="E22" t="s">
        <v>14</v>
      </c>
      <c r="F22" t="s">
        <v>4</v>
      </c>
      <c r="G22" s="4">
        <v>1.1065411784439729</v>
      </c>
      <c r="H22" s="4">
        <f>Table48[[#This Row],[mM]]*N$3*N$1</f>
        <v>1.1065411784439729E-2</v>
      </c>
      <c r="I22" s="5">
        <v>61.2</v>
      </c>
      <c r="J22" s="4">
        <f>Table48[[#This Row],[mmol/g wet feces]]/Table48[[#This Row],[sCOD (mg/g wet feces)]]*1000</f>
        <v>0.18080738209868838</v>
      </c>
    </row>
    <row r="23" spans="1:10" x14ac:dyDescent="0.2">
      <c r="A23">
        <v>6</v>
      </c>
      <c r="B23" t="s">
        <v>36</v>
      </c>
      <c r="C23" t="s">
        <v>37</v>
      </c>
      <c r="D23" t="s">
        <v>38</v>
      </c>
      <c r="E23" t="s">
        <v>18</v>
      </c>
      <c r="F23" t="s">
        <v>5</v>
      </c>
      <c r="G23" s="4">
        <v>1.258509895209353</v>
      </c>
      <c r="H23" s="4">
        <f>Table48[[#This Row],[mM]]*N$3*N$1</f>
        <v>1.258509895209353E-2</v>
      </c>
      <c r="I23" s="5">
        <v>67.400000000000006</v>
      </c>
      <c r="J23" s="4">
        <f>Table48[[#This Row],[mmol/g wet feces]]/Table48[[#This Row],[sCOD (mg/g wet feces)]]*1000</f>
        <v>0.18672253638120964</v>
      </c>
    </row>
    <row r="24" spans="1:10" x14ac:dyDescent="0.2">
      <c r="A24">
        <v>7</v>
      </c>
      <c r="B24" t="s">
        <v>36</v>
      </c>
      <c r="C24" t="s">
        <v>37</v>
      </c>
      <c r="D24" t="s">
        <v>38</v>
      </c>
      <c r="E24" t="s">
        <v>14</v>
      </c>
      <c r="F24" t="s">
        <v>1</v>
      </c>
      <c r="G24" s="4">
        <v>6.3046979477186644</v>
      </c>
      <c r="H24" s="4">
        <f>Table48[[#This Row],[mM]]*N$3*N$1</f>
        <v>6.3046979477186654E-2</v>
      </c>
      <c r="I24" s="5">
        <v>61.2</v>
      </c>
      <c r="J24" s="4">
        <f>Table48[[#This Row],[mmol/g wet feces]]/Table48[[#This Row],[sCOD (mg/g wet feces)]]*1000</f>
        <v>1.0301794032220042</v>
      </c>
    </row>
    <row r="25" spans="1:10" x14ac:dyDescent="0.2">
      <c r="A25">
        <v>8</v>
      </c>
      <c r="B25" t="s">
        <v>36</v>
      </c>
      <c r="C25" t="s">
        <v>37</v>
      </c>
      <c r="D25" t="s">
        <v>38</v>
      </c>
      <c r="E25" t="s">
        <v>10</v>
      </c>
      <c r="F25" t="s">
        <v>4</v>
      </c>
      <c r="G25" s="4">
        <v>0.45083965101730789</v>
      </c>
      <c r="H25" s="4">
        <f>Table48[[#This Row],[mM]]*N$3*N$1</f>
        <v>4.5083965101730796E-3</v>
      </c>
      <c r="I25" s="5">
        <v>51.2</v>
      </c>
      <c r="J25" s="4">
        <f>Table48[[#This Row],[mmol/g wet feces]]/Table48[[#This Row],[sCOD (mg/g wet feces)]]*1000</f>
        <v>8.8054619339317963E-2</v>
      </c>
    </row>
    <row r="26" spans="1:10" x14ac:dyDescent="0.2">
      <c r="A26">
        <v>2</v>
      </c>
      <c r="B26" t="s">
        <v>36</v>
      </c>
      <c r="C26" t="s">
        <v>37</v>
      </c>
      <c r="D26" t="s">
        <v>38</v>
      </c>
      <c r="E26" t="s">
        <v>31</v>
      </c>
      <c r="F26" t="s">
        <v>6</v>
      </c>
      <c r="G26" s="4">
        <v>2.905007313557824</v>
      </c>
      <c r="H26" s="4">
        <f>Table48[[#This Row],[mM]]*N$3*N$1</f>
        <v>2.9050073135578242E-2</v>
      </c>
      <c r="I26" s="5">
        <v>59.8</v>
      </c>
      <c r="J26" s="4">
        <f>Table48[[#This Row],[mmol/g wet feces]]/Table48[[#This Row],[sCOD (mg/g wet feces)]]*1000</f>
        <v>0.4857871761802382</v>
      </c>
    </row>
    <row r="27" spans="1:10" x14ac:dyDescent="0.2">
      <c r="A27">
        <v>2</v>
      </c>
      <c r="B27" t="s">
        <v>36</v>
      </c>
      <c r="C27" t="s">
        <v>37</v>
      </c>
      <c r="D27" t="s">
        <v>38</v>
      </c>
      <c r="E27" t="s">
        <v>31</v>
      </c>
      <c r="F27" t="s">
        <v>0</v>
      </c>
      <c r="G27" s="4">
        <v>10.980586491760164</v>
      </c>
      <c r="H27" s="4">
        <f>Table48[[#This Row],[mM]]*N$3*N$1</f>
        <v>0.10980586491760164</v>
      </c>
      <c r="I27" s="5">
        <v>59.8</v>
      </c>
      <c r="J27" s="4">
        <f>Table48[[#This Row],[mmol/g wet feces]]/Table48[[#This Row],[sCOD (mg/g wet feces)]]*1000</f>
        <v>1.8362184768829706</v>
      </c>
    </row>
    <row r="28" spans="1:10" x14ac:dyDescent="0.2">
      <c r="A28">
        <v>2</v>
      </c>
      <c r="B28" t="s">
        <v>36</v>
      </c>
      <c r="C28" t="s">
        <v>37</v>
      </c>
      <c r="D28" t="s">
        <v>38</v>
      </c>
      <c r="E28" t="s">
        <v>31</v>
      </c>
      <c r="F28" t="s">
        <v>3</v>
      </c>
      <c r="G28" s="4">
        <v>7.6284043219825266</v>
      </c>
      <c r="H28" s="4">
        <f>Table48[[#This Row],[mM]]*N$3*N$1</f>
        <v>7.6284043219825265E-2</v>
      </c>
      <c r="I28" s="5">
        <v>59.8</v>
      </c>
      <c r="J28" s="4">
        <f>Table48[[#This Row],[mmol/g wet feces]]/Table48[[#This Row],[sCOD (mg/g wet feces)]]*1000</f>
        <v>1.2756528966525966</v>
      </c>
    </row>
    <row r="29" spans="1:10" x14ac:dyDescent="0.2">
      <c r="A29">
        <v>7</v>
      </c>
      <c r="B29" t="s">
        <v>36</v>
      </c>
      <c r="C29" t="s">
        <v>37</v>
      </c>
      <c r="D29" t="s">
        <v>38</v>
      </c>
      <c r="E29" t="s">
        <v>14</v>
      </c>
      <c r="F29" t="s">
        <v>5</v>
      </c>
      <c r="G29" s="4">
        <v>2.4021351440500291</v>
      </c>
      <c r="H29" s="4">
        <f>Table48[[#This Row],[mM]]*N$3*N$1</f>
        <v>2.4021351440500289E-2</v>
      </c>
      <c r="I29" s="5">
        <v>61.2</v>
      </c>
      <c r="J29" s="4">
        <f>Table48[[#This Row],[mmol/g wet feces]]/Table48[[#This Row],[sCOD (mg/g wet feces)]]*1000</f>
        <v>0.39250574249183473</v>
      </c>
    </row>
    <row r="30" spans="1:10" x14ac:dyDescent="0.2">
      <c r="A30">
        <v>8</v>
      </c>
      <c r="B30" t="s">
        <v>36</v>
      </c>
      <c r="C30" t="s">
        <v>37</v>
      </c>
      <c r="D30" t="s">
        <v>38</v>
      </c>
      <c r="E30" t="s">
        <v>10</v>
      </c>
      <c r="F30" t="s">
        <v>1</v>
      </c>
      <c r="G30" s="4">
        <v>5.7284298343576907</v>
      </c>
      <c r="H30" s="4">
        <f>Table48[[#This Row],[mM]]*N$3*N$1</f>
        <v>5.7284298343576907E-2</v>
      </c>
      <c r="I30" s="5">
        <v>51.2</v>
      </c>
      <c r="J30" s="4">
        <f>Table48[[#This Row],[mmol/g wet feces]]/Table48[[#This Row],[sCOD (mg/g wet feces)]]*1000</f>
        <v>1.1188339520229864</v>
      </c>
    </row>
    <row r="31" spans="1:10" x14ac:dyDescent="0.2">
      <c r="A31">
        <v>1</v>
      </c>
      <c r="B31" t="s">
        <v>36</v>
      </c>
      <c r="C31" t="s">
        <v>39</v>
      </c>
      <c r="D31" t="s">
        <v>38</v>
      </c>
      <c r="E31" t="s">
        <v>23</v>
      </c>
      <c r="F31" t="s">
        <v>4</v>
      </c>
      <c r="G31" s="4">
        <v>1.7658037435113327</v>
      </c>
      <c r="H31" s="4">
        <f>Table48[[#This Row],[mM]]*N$3*N$1</f>
        <v>1.7658037435113329E-2</v>
      </c>
      <c r="I31" s="5">
        <v>75.199999999999989</v>
      </c>
      <c r="J31" s="4">
        <f>Table48[[#This Row],[mmol/g wet feces]]/Table48[[#This Row],[sCOD (mg/g wet feces)]]*1000</f>
        <v>0.23481432759459217</v>
      </c>
    </row>
    <row r="32" spans="1:10" x14ac:dyDescent="0.2">
      <c r="A32">
        <v>2</v>
      </c>
      <c r="B32" t="s">
        <v>36</v>
      </c>
      <c r="C32" t="s">
        <v>39</v>
      </c>
      <c r="D32" t="s">
        <v>38</v>
      </c>
      <c r="E32" t="s">
        <v>12</v>
      </c>
      <c r="F32" t="s">
        <v>6</v>
      </c>
      <c r="G32" s="4">
        <v>2.724564220358634</v>
      </c>
      <c r="H32" s="4">
        <f>Table48[[#This Row],[mM]]*20*N$1</f>
        <v>5.4491284407172678E-2</v>
      </c>
      <c r="I32" s="5">
        <v>81.200000000000017</v>
      </c>
      <c r="J32" s="4">
        <f>Table48[[#This Row],[mmol/g wet feces]]/Table48[[#This Row],[sCOD (mg/g wet feces)]]*1000</f>
        <v>0.67107493112281613</v>
      </c>
    </row>
    <row r="33" spans="1:10" x14ac:dyDescent="0.2">
      <c r="A33">
        <v>2</v>
      </c>
      <c r="B33" t="s">
        <v>36</v>
      </c>
      <c r="C33" t="s">
        <v>39</v>
      </c>
      <c r="D33" t="s">
        <v>38</v>
      </c>
      <c r="E33" t="s">
        <v>12</v>
      </c>
      <c r="F33" t="s">
        <v>0</v>
      </c>
      <c r="G33" s="4">
        <v>5.4600823387028354</v>
      </c>
      <c r="H33" s="4">
        <f>Table48[[#This Row],[mM]]*20*N$1</f>
        <v>0.10920164677405672</v>
      </c>
      <c r="I33" s="5">
        <v>81.200000000000017</v>
      </c>
      <c r="J33" s="4">
        <f>Table48[[#This Row],[mmol/g wet feces]]/Table48[[#This Row],[sCOD (mg/g wet feces)]]*1000</f>
        <v>1.3448478666755752</v>
      </c>
    </row>
    <row r="34" spans="1:10" x14ac:dyDescent="0.2">
      <c r="A34">
        <v>2</v>
      </c>
      <c r="B34" t="s">
        <v>36</v>
      </c>
      <c r="C34" t="s">
        <v>39</v>
      </c>
      <c r="D34" t="s">
        <v>38</v>
      </c>
      <c r="E34" t="s">
        <v>12</v>
      </c>
      <c r="F34" t="s">
        <v>3</v>
      </c>
      <c r="G34" s="4">
        <v>14.37467469065122</v>
      </c>
      <c r="H34" s="4">
        <f>Table48[[#This Row],[mM]]*20*N$1</f>
        <v>0.28749349381302441</v>
      </c>
      <c r="I34" s="5">
        <v>81.200000000000017</v>
      </c>
      <c r="J34" s="4">
        <f>Table48[[#This Row],[mmol/g wet feces]]/Table48[[#This Row],[sCOD (mg/g wet feces)]]*1000</f>
        <v>3.5405602686333046</v>
      </c>
    </row>
    <row r="35" spans="1:10" x14ac:dyDescent="0.2">
      <c r="A35">
        <v>8</v>
      </c>
      <c r="B35" t="s">
        <v>36</v>
      </c>
      <c r="C35" t="s">
        <v>37</v>
      </c>
      <c r="D35" t="s">
        <v>38</v>
      </c>
      <c r="E35" t="s">
        <v>10</v>
      </c>
      <c r="F35" t="s">
        <v>5</v>
      </c>
      <c r="G35" s="4">
        <v>0.85051052667081717</v>
      </c>
      <c r="H35" s="4">
        <f>Table48[[#This Row],[mM]]*N$3*N$1</f>
        <v>8.5051052667081718E-3</v>
      </c>
      <c r="I35" s="5">
        <v>51.2</v>
      </c>
      <c r="J35" s="4">
        <f>Table48[[#This Row],[mmol/g wet feces]]/Table48[[#This Row],[sCOD (mg/g wet feces)]]*1000</f>
        <v>0.16611533724039396</v>
      </c>
    </row>
    <row r="36" spans="1:10" x14ac:dyDescent="0.2">
      <c r="A36">
        <v>1</v>
      </c>
      <c r="B36" t="s">
        <v>36</v>
      </c>
      <c r="C36" t="s">
        <v>39</v>
      </c>
      <c r="D36" t="s">
        <v>38</v>
      </c>
      <c r="E36" t="s">
        <v>23</v>
      </c>
      <c r="F36" t="s">
        <v>1</v>
      </c>
      <c r="G36" s="4">
        <v>4.0357347437881463</v>
      </c>
      <c r="H36" s="4">
        <f>Table48[[#This Row],[mM]]*N$3*N$1</f>
        <v>4.0357347437881469E-2</v>
      </c>
      <c r="I36" s="5">
        <v>75.199999999999989</v>
      </c>
      <c r="J36" s="4">
        <f>Table48[[#This Row],[mmol/g wet feces]]/Table48[[#This Row],[sCOD (mg/g wet feces)]]*1000</f>
        <v>0.53666685422714722</v>
      </c>
    </row>
    <row r="37" spans="1:10" x14ac:dyDescent="0.2">
      <c r="A37">
        <v>2</v>
      </c>
      <c r="B37" t="s">
        <v>36</v>
      </c>
      <c r="C37" t="s">
        <v>40</v>
      </c>
      <c r="D37" t="s">
        <v>38</v>
      </c>
      <c r="E37" t="s">
        <v>20</v>
      </c>
      <c r="F37" t="s">
        <v>6</v>
      </c>
      <c r="G37" s="4">
        <v>7.2387039107239612</v>
      </c>
      <c r="H37" s="4">
        <f>Table48[[#This Row],[mM]]*N$3*N$1</f>
        <v>7.238703910723962E-2</v>
      </c>
      <c r="I37" s="5">
        <v>65</v>
      </c>
      <c r="J37" s="4">
        <f>Table48[[#This Row],[mmol/g wet feces]]/Table48[[#This Row],[sCOD (mg/g wet feces)]]*1000</f>
        <v>1.1136467554959941</v>
      </c>
    </row>
    <row r="38" spans="1:10" x14ac:dyDescent="0.2">
      <c r="A38">
        <v>2</v>
      </c>
      <c r="B38" t="s">
        <v>36</v>
      </c>
      <c r="C38" t="s">
        <v>40</v>
      </c>
      <c r="D38" t="s">
        <v>38</v>
      </c>
      <c r="E38" t="s">
        <v>20</v>
      </c>
      <c r="F38" t="s">
        <v>0</v>
      </c>
      <c r="G38" s="4">
        <v>7.7132156691751144</v>
      </c>
      <c r="H38" s="4">
        <f>Table48[[#This Row],[mM]]*N$3*N$1</f>
        <v>7.713215669175115E-2</v>
      </c>
      <c r="I38" s="5">
        <v>65</v>
      </c>
      <c r="J38" s="4">
        <f>Table48[[#This Row],[mmol/g wet feces]]/Table48[[#This Row],[sCOD (mg/g wet feces)]]*1000</f>
        <v>1.1866485644884792</v>
      </c>
    </row>
    <row r="39" spans="1:10" x14ac:dyDescent="0.2">
      <c r="A39">
        <v>2</v>
      </c>
      <c r="B39" t="s">
        <v>36</v>
      </c>
      <c r="C39" t="s">
        <v>40</v>
      </c>
      <c r="D39" t="s">
        <v>38</v>
      </c>
      <c r="E39" t="s">
        <v>20</v>
      </c>
      <c r="F39" t="s">
        <v>3</v>
      </c>
      <c r="G39" s="4">
        <v>1.6682709032936265</v>
      </c>
      <c r="H39" s="4">
        <f>Table48[[#This Row],[mM]]*N$3*N$1</f>
        <v>1.6682709032936265E-2</v>
      </c>
      <c r="I39" s="5">
        <v>65</v>
      </c>
      <c r="J39" s="4">
        <f>Table48[[#This Row],[mmol/g wet feces]]/Table48[[#This Row],[sCOD (mg/g wet feces)]]*1000</f>
        <v>0.2566570620451733</v>
      </c>
    </row>
    <row r="40" spans="1:10" x14ac:dyDescent="0.2">
      <c r="A40">
        <v>2</v>
      </c>
      <c r="B40" t="s">
        <v>36</v>
      </c>
      <c r="C40" t="s">
        <v>40</v>
      </c>
      <c r="D40" t="s">
        <v>38</v>
      </c>
      <c r="E40" t="s">
        <v>20</v>
      </c>
      <c r="F40" t="s">
        <v>3</v>
      </c>
      <c r="G40" s="4">
        <v>19.044238595469942</v>
      </c>
      <c r="H40" s="4">
        <f>Table48[[#This Row],[mM]]*N$3*N$1</f>
        <v>0.19044238595469942</v>
      </c>
      <c r="I40" s="5">
        <v>65</v>
      </c>
      <c r="J40" s="4">
        <f>Table48[[#This Row],[mmol/g wet feces]]/Table48[[#This Row],[sCOD (mg/g wet feces)]]*1000</f>
        <v>2.9298828608415297</v>
      </c>
    </row>
    <row r="41" spans="1:10" x14ac:dyDescent="0.2">
      <c r="A41">
        <v>1</v>
      </c>
      <c r="B41" t="s">
        <v>36</v>
      </c>
      <c r="C41" t="s">
        <v>39</v>
      </c>
      <c r="D41" t="s">
        <v>38</v>
      </c>
      <c r="E41" t="s">
        <v>23</v>
      </c>
      <c r="F41" t="s">
        <v>5</v>
      </c>
      <c r="G41" s="4">
        <v>6.3072942471649593</v>
      </c>
      <c r="H41" s="4">
        <f>Table48[[#This Row],[mM]]*N$3*N$1</f>
        <v>6.3072942471649601E-2</v>
      </c>
      <c r="I41" s="5">
        <v>75.199999999999989</v>
      </c>
      <c r="J41" s="4">
        <f>Table48[[#This Row],[mmol/g wet feces]]/Table48[[#This Row],[sCOD (mg/g wet feces)]]*1000</f>
        <v>0.8387359371230001</v>
      </c>
    </row>
    <row r="42" spans="1:10" x14ac:dyDescent="0.2">
      <c r="A42">
        <v>2</v>
      </c>
      <c r="B42" t="s">
        <v>36</v>
      </c>
      <c r="C42" t="s">
        <v>39</v>
      </c>
      <c r="D42" t="s">
        <v>38</v>
      </c>
      <c r="E42" t="s">
        <v>12</v>
      </c>
      <c r="F42" t="s">
        <v>1</v>
      </c>
      <c r="G42" s="4">
        <v>4.5806151095733743</v>
      </c>
      <c r="H42" s="4">
        <f>Table48[[#This Row],[mM]]*20*N$1</f>
        <v>9.1612302191467473E-2</v>
      </c>
      <c r="I42" s="5">
        <v>81.200000000000017</v>
      </c>
      <c r="J42" s="4">
        <f>Table48[[#This Row],[mmol/g wet feces]]/Table48[[#This Row],[sCOD (mg/g wet feces)]]*1000</f>
        <v>1.1282303225550179</v>
      </c>
    </row>
    <row r="43" spans="1:10" x14ac:dyDescent="0.2">
      <c r="A43">
        <v>2</v>
      </c>
      <c r="B43" t="s">
        <v>36</v>
      </c>
      <c r="C43" t="s">
        <v>39</v>
      </c>
      <c r="D43" t="s">
        <v>38</v>
      </c>
      <c r="E43" t="s">
        <v>12</v>
      </c>
      <c r="F43" t="s">
        <v>4</v>
      </c>
      <c r="G43" s="4">
        <v>1.1400053332749756</v>
      </c>
      <c r="H43" s="4">
        <f>Table48[[#This Row],[mM]]*20*N$1</f>
        <v>2.2800106665499514E-2</v>
      </c>
      <c r="I43" s="5">
        <v>81.200000000000017</v>
      </c>
      <c r="J43" s="4">
        <f>Table48[[#This Row],[mmol/g wet feces]]/Table48[[#This Row],[sCOD (mg/g wet feces)]]*1000</f>
        <v>0.28078949095442746</v>
      </c>
    </row>
    <row r="44" spans="1:10" x14ac:dyDescent="0.2">
      <c r="A44">
        <v>2</v>
      </c>
      <c r="B44" t="s">
        <v>36</v>
      </c>
      <c r="C44" t="s">
        <v>39</v>
      </c>
      <c r="D44" t="s">
        <v>38</v>
      </c>
      <c r="E44" t="s">
        <v>12</v>
      </c>
      <c r="F44" t="s">
        <v>5</v>
      </c>
      <c r="G44" s="4">
        <v>3.8652295860272248</v>
      </c>
      <c r="H44" s="4">
        <f>Table48[[#This Row],[mM]]*20*N$1</f>
        <v>7.7304591720544491E-2</v>
      </c>
      <c r="I44" s="5">
        <v>81.200000000000017</v>
      </c>
      <c r="J44" s="4">
        <f>Table48[[#This Row],[mmol/g wet feces]]/Table48[[#This Row],[sCOD (mg/g wet feces)]]*1000</f>
        <v>0.95202699163232107</v>
      </c>
    </row>
    <row r="45" spans="1:10" x14ac:dyDescent="0.2">
      <c r="A45">
        <v>3</v>
      </c>
      <c r="B45" t="s">
        <v>36</v>
      </c>
      <c r="C45" t="s">
        <v>39</v>
      </c>
      <c r="D45" t="s">
        <v>38</v>
      </c>
      <c r="E45" t="s">
        <v>27</v>
      </c>
      <c r="F45" t="s">
        <v>1</v>
      </c>
      <c r="G45" s="4">
        <v>7.9722881829978256</v>
      </c>
      <c r="H45" s="4">
        <f>Table48[[#This Row],[mM]]*N$3*N$1</f>
        <v>7.9722881829978262E-2</v>
      </c>
      <c r="I45" s="5">
        <v>81.599999999999994</v>
      </c>
      <c r="J45" s="4">
        <f>Table48[[#This Row],[mmol/g wet feces]]/Table48[[#This Row],[sCOD (mg/g wet feces)]]*1000</f>
        <v>0.97699610085757682</v>
      </c>
    </row>
    <row r="46" spans="1:10" x14ac:dyDescent="0.2">
      <c r="A46">
        <v>3</v>
      </c>
      <c r="B46" t="s">
        <v>36</v>
      </c>
      <c r="C46" t="s">
        <v>39</v>
      </c>
      <c r="D46" t="s">
        <v>38</v>
      </c>
      <c r="E46" t="s">
        <v>27</v>
      </c>
      <c r="F46" t="s">
        <v>4</v>
      </c>
      <c r="G46" s="4">
        <v>2.9522212784120163</v>
      </c>
      <c r="H46" s="4">
        <f>Table48[[#This Row],[mM]]*N$3*N$1</f>
        <v>2.9522212784120164E-2</v>
      </c>
      <c r="I46" s="5">
        <v>81.599999999999994</v>
      </c>
      <c r="J46" s="4">
        <f>Table48[[#This Row],[mmol/g wet feces]]/Table48[[#This Row],[sCOD (mg/g wet feces)]]*1000</f>
        <v>0.36179182333480597</v>
      </c>
    </row>
    <row r="47" spans="1:10" x14ac:dyDescent="0.2">
      <c r="A47">
        <v>3</v>
      </c>
      <c r="B47" t="s">
        <v>36</v>
      </c>
      <c r="C47" t="s">
        <v>39</v>
      </c>
      <c r="D47" t="s">
        <v>38</v>
      </c>
      <c r="E47" t="s">
        <v>27</v>
      </c>
      <c r="F47" t="s">
        <v>5</v>
      </c>
      <c r="G47" s="4">
        <v>3.4799336011732631</v>
      </c>
      <c r="H47" s="4">
        <f>Table48[[#This Row],[mM]]*N$3*N$1</f>
        <v>3.4799336011732636E-2</v>
      </c>
      <c r="I47" s="5">
        <v>81.599999999999994</v>
      </c>
      <c r="J47" s="4">
        <f>Table48[[#This Row],[mmol/g wet feces]]/Table48[[#This Row],[sCOD (mg/g wet feces)]]*1000</f>
        <v>0.42646245112417447</v>
      </c>
    </row>
    <row r="48" spans="1:10" x14ac:dyDescent="0.2">
      <c r="A48">
        <v>4</v>
      </c>
      <c r="B48" t="s">
        <v>36</v>
      </c>
      <c r="C48" t="s">
        <v>39</v>
      </c>
      <c r="D48" t="s">
        <v>38</v>
      </c>
      <c r="E48" t="s">
        <v>15</v>
      </c>
      <c r="F48" t="s">
        <v>1</v>
      </c>
      <c r="G48" s="4">
        <v>5.2943574954408357</v>
      </c>
      <c r="H48" s="4">
        <f>Table48[[#This Row],[mM]]*N$3*N$1</f>
        <v>5.2943574954408358E-2</v>
      </c>
      <c r="I48" s="5">
        <v>70.2</v>
      </c>
      <c r="J48" s="4">
        <f>Table48[[#This Row],[mmol/g wet feces]]/Table48[[#This Row],[sCOD (mg/g wet feces)]]*1000</f>
        <v>0.75418197940752651</v>
      </c>
    </row>
    <row r="49" spans="1:10" x14ac:dyDescent="0.2">
      <c r="A49">
        <v>4</v>
      </c>
      <c r="B49" t="s">
        <v>36</v>
      </c>
      <c r="C49" t="s">
        <v>39</v>
      </c>
      <c r="D49" t="s">
        <v>38</v>
      </c>
      <c r="E49" t="s">
        <v>15</v>
      </c>
      <c r="F49" t="s">
        <v>4</v>
      </c>
      <c r="G49" s="4">
        <v>0.4277989030598725</v>
      </c>
      <c r="H49" s="4">
        <f>Table48[[#This Row],[mM]]*N$3*N$1</f>
        <v>4.2779890305987252E-3</v>
      </c>
      <c r="I49" s="5">
        <v>70.2</v>
      </c>
      <c r="J49" s="4">
        <f>Table48[[#This Row],[mmol/g wet feces]]/Table48[[#This Row],[sCOD (mg/g wet feces)]]*1000</f>
        <v>6.0940014680893523E-2</v>
      </c>
    </row>
    <row r="50" spans="1:10" x14ac:dyDescent="0.2">
      <c r="A50">
        <v>4</v>
      </c>
      <c r="B50" t="s">
        <v>36</v>
      </c>
      <c r="C50" t="s">
        <v>39</v>
      </c>
      <c r="D50" t="s">
        <v>38</v>
      </c>
      <c r="E50" t="s">
        <v>15</v>
      </c>
      <c r="F50" t="s">
        <v>5</v>
      </c>
      <c r="G50" s="4">
        <v>2.5834828325750889</v>
      </c>
      <c r="H50" s="4">
        <f>Table48[[#This Row],[mM]]*N$3*N$1</f>
        <v>2.5834828325750892E-2</v>
      </c>
      <c r="I50" s="5">
        <v>70.2</v>
      </c>
      <c r="J50" s="4">
        <f>Table48[[#This Row],[mmol/g wet feces]]/Table48[[#This Row],[sCOD (mg/g wet feces)]]*1000</f>
        <v>0.36801749751781898</v>
      </c>
    </row>
    <row r="51" spans="1:10" x14ac:dyDescent="0.2">
      <c r="A51">
        <v>5</v>
      </c>
      <c r="B51" t="s">
        <v>36</v>
      </c>
      <c r="C51" t="s">
        <v>39</v>
      </c>
      <c r="D51" t="s">
        <v>38</v>
      </c>
      <c r="E51" t="s">
        <v>19</v>
      </c>
      <c r="F51" t="s">
        <v>1</v>
      </c>
      <c r="G51" s="4">
        <v>4.7101516009679454</v>
      </c>
      <c r="H51" s="4">
        <f>Table48[[#This Row],[mM]]*N$3*N$1</f>
        <v>4.7101516009679462E-2</v>
      </c>
      <c r="I51" s="5">
        <v>64</v>
      </c>
      <c r="J51" s="4">
        <f>Table48[[#This Row],[mmol/g wet feces]]/Table48[[#This Row],[sCOD (mg/g wet feces)]]*1000</f>
        <v>0.73596118765124163</v>
      </c>
    </row>
    <row r="52" spans="1:10" x14ac:dyDescent="0.2">
      <c r="A52">
        <v>5</v>
      </c>
      <c r="B52" t="s">
        <v>36</v>
      </c>
      <c r="C52" t="s">
        <v>39</v>
      </c>
      <c r="D52" t="s">
        <v>38</v>
      </c>
      <c r="E52" t="s">
        <v>19</v>
      </c>
      <c r="F52" t="s">
        <v>4</v>
      </c>
      <c r="G52" s="4">
        <v>1.0482444952732313</v>
      </c>
      <c r="H52" s="4">
        <f>Table48[[#This Row],[mM]]*N$3*N$1</f>
        <v>1.0482444952732312E-2</v>
      </c>
      <c r="I52" s="5">
        <v>64</v>
      </c>
      <c r="J52" s="4">
        <f>Table48[[#This Row],[mmol/g wet feces]]/Table48[[#This Row],[sCOD (mg/g wet feces)]]*1000</f>
        <v>0.16378820238644237</v>
      </c>
    </row>
    <row r="53" spans="1:10" x14ac:dyDescent="0.2">
      <c r="A53">
        <v>3</v>
      </c>
      <c r="B53" t="s">
        <v>36</v>
      </c>
      <c r="C53" t="s">
        <v>37</v>
      </c>
      <c r="D53" t="s">
        <v>38</v>
      </c>
      <c r="E53" t="s">
        <v>30</v>
      </c>
      <c r="F53" t="s">
        <v>6</v>
      </c>
      <c r="G53" s="4">
        <v>1.4936094821177655</v>
      </c>
      <c r="H53" s="4">
        <f>Table48[[#This Row],[mM]]*N$3*N$1</f>
        <v>1.4936094821177654E-2</v>
      </c>
      <c r="I53" s="5">
        <v>52.2</v>
      </c>
      <c r="J53" s="4">
        <f>Table48[[#This Row],[mmol/g wet feces]]/Table48[[#This Row],[sCOD (mg/g wet feces)]]*1000</f>
        <v>0.28613208469688989</v>
      </c>
    </row>
    <row r="54" spans="1:10" x14ac:dyDescent="0.2">
      <c r="A54">
        <v>3</v>
      </c>
      <c r="B54" t="s">
        <v>36</v>
      </c>
      <c r="C54" t="s">
        <v>37</v>
      </c>
      <c r="D54" t="s">
        <v>38</v>
      </c>
      <c r="E54" t="s">
        <v>30</v>
      </c>
      <c r="F54" t="s">
        <v>0</v>
      </c>
      <c r="G54" s="4">
        <v>9.005413287529958</v>
      </c>
      <c r="H54" s="4">
        <f>Table48[[#This Row],[mM]]*N$3*N$1</f>
        <v>9.0054132875299592E-2</v>
      </c>
      <c r="I54" s="5">
        <v>52.2</v>
      </c>
      <c r="J54" s="4">
        <f>Table48[[#This Row],[mmol/g wet feces]]/Table48[[#This Row],[sCOD (mg/g wet feces)]]*1000</f>
        <v>1.725174959296927</v>
      </c>
    </row>
    <row r="55" spans="1:10" x14ac:dyDescent="0.2">
      <c r="A55">
        <v>3</v>
      </c>
      <c r="B55" t="s">
        <v>36</v>
      </c>
      <c r="C55" t="s">
        <v>37</v>
      </c>
      <c r="D55" t="s">
        <v>38</v>
      </c>
      <c r="E55" t="s">
        <v>30</v>
      </c>
      <c r="F55" t="s">
        <v>3</v>
      </c>
      <c r="G55" s="4">
        <v>13.464174488588254</v>
      </c>
      <c r="H55" s="4">
        <f>Table48[[#This Row],[mM]]*N$3*N$1</f>
        <v>0.13464174488588254</v>
      </c>
      <c r="I55" s="5">
        <v>52.2</v>
      </c>
      <c r="J55" s="4">
        <f>Table48[[#This Row],[mmol/g wet feces]]/Table48[[#This Row],[sCOD (mg/g wet feces)]]*1000</f>
        <v>2.5793437717602017</v>
      </c>
    </row>
    <row r="56" spans="1:10" x14ac:dyDescent="0.2">
      <c r="A56">
        <v>5</v>
      </c>
      <c r="B56" t="s">
        <v>36</v>
      </c>
      <c r="C56" t="s">
        <v>39</v>
      </c>
      <c r="D56" t="s">
        <v>38</v>
      </c>
      <c r="E56" t="s">
        <v>19</v>
      </c>
      <c r="F56" t="s">
        <v>5</v>
      </c>
      <c r="G56" s="4">
        <v>2.3431752738861276</v>
      </c>
      <c r="H56" s="4">
        <f>Table48[[#This Row],[mM]]*N$3*N$1</f>
        <v>2.3431752738861278E-2</v>
      </c>
      <c r="I56" s="5">
        <v>64</v>
      </c>
      <c r="J56" s="4">
        <f>Table48[[#This Row],[mmol/g wet feces]]/Table48[[#This Row],[sCOD (mg/g wet feces)]]*1000</f>
        <v>0.36612113654470746</v>
      </c>
    </row>
    <row r="57" spans="1:10" x14ac:dyDescent="0.2">
      <c r="A57">
        <v>6</v>
      </c>
      <c r="B57" t="s">
        <v>36</v>
      </c>
      <c r="C57" t="s">
        <v>39</v>
      </c>
      <c r="D57" t="s">
        <v>38</v>
      </c>
      <c r="E57" t="s">
        <v>21</v>
      </c>
      <c r="F57" t="s">
        <v>1</v>
      </c>
      <c r="G57" s="4">
        <v>10.698855203803394</v>
      </c>
      <c r="H57" s="4">
        <f>Table48[[#This Row],[mM]]*N$3*N$1</f>
        <v>0.10698855203803394</v>
      </c>
      <c r="I57" s="5">
        <v>58.999999999999993</v>
      </c>
      <c r="J57" s="4">
        <f>Table48[[#This Row],[mmol/g wet feces]]/Table48[[#This Row],[sCOD (mg/g wet feces)]]*1000</f>
        <v>1.8133652887802365</v>
      </c>
    </row>
    <row r="58" spans="1:10" x14ac:dyDescent="0.2">
      <c r="A58">
        <v>7</v>
      </c>
      <c r="B58" t="s">
        <v>36</v>
      </c>
      <c r="C58" t="s">
        <v>39</v>
      </c>
      <c r="D58" t="s">
        <v>38</v>
      </c>
      <c r="E58" t="s">
        <v>9</v>
      </c>
      <c r="F58" t="s">
        <v>4</v>
      </c>
      <c r="G58" s="4">
        <v>1.1024537019934986</v>
      </c>
      <c r="H58" s="4">
        <f>Table48[[#This Row],[mM]]*N$3*N$1</f>
        <v>1.1024537019934985E-2</v>
      </c>
      <c r="I58" s="5">
        <v>69.2</v>
      </c>
      <c r="J58" s="4">
        <f>Table48[[#This Row],[mmol/g wet feces]]/Table48[[#This Row],[sCOD (mg/g wet feces)]]*1000</f>
        <v>0.15931411878518764</v>
      </c>
    </row>
    <row r="59" spans="1:10" x14ac:dyDescent="0.2">
      <c r="A59">
        <v>3</v>
      </c>
      <c r="B59" t="s">
        <v>36</v>
      </c>
      <c r="C59" t="s">
        <v>39</v>
      </c>
      <c r="D59" t="s">
        <v>38</v>
      </c>
      <c r="E59" t="s">
        <v>27</v>
      </c>
      <c r="F59" t="s">
        <v>6</v>
      </c>
      <c r="G59" s="4">
        <v>9.2630439640197206</v>
      </c>
      <c r="H59" s="4">
        <f>Table48[[#This Row],[mM]]*N$3*N$1</f>
        <v>9.263043964019721E-2</v>
      </c>
      <c r="I59" s="5">
        <v>81.599999999999994</v>
      </c>
      <c r="J59" s="4">
        <f>Table48[[#This Row],[mmol/g wet feces]]/Table48[[#This Row],[sCOD (mg/g wet feces)]]*1000</f>
        <v>1.1351769563749659</v>
      </c>
    </row>
    <row r="60" spans="1:10" x14ac:dyDescent="0.2">
      <c r="A60">
        <v>3</v>
      </c>
      <c r="B60" t="s">
        <v>36</v>
      </c>
      <c r="C60" t="s">
        <v>39</v>
      </c>
      <c r="D60" t="s">
        <v>38</v>
      </c>
      <c r="E60" t="s">
        <v>27</v>
      </c>
      <c r="F60" t="s">
        <v>0</v>
      </c>
      <c r="G60" s="4">
        <v>6.84056866512943</v>
      </c>
      <c r="H60" s="4">
        <f>Table48[[#This Row],[mM]]*N$3*N$1</f>
        <v>6.8405686651294303E-2</v>
      </c>
      <c r="I60" s="5">
        <v>81.599999999999994</v>
      </c>
      <c r="J60" s="4">
        <f>Table48[[#This Row],[mmol/g wet feces]]/Table48[[#This Row],[sCOD (mg/g wet feces)]]*1000</f>
        <v>0.83830498347174398</v>
      </c>
    </row>
    <row r="61" spans="1:10" x14ac:dyDescent="0.2">
      <c r="A61">
        <v>3</v>
      </c>
      <c r="B61" t="s">
        <v>36</v>
      </c>
      <c r="C61" t="s">
        <v>39</v>
      </c>
      <c r="D61" t="s">
        <v>38</v>
      </c>
      <c r="E61" t="s">
        <v>27</v>
      </c>
      <c r="F61" t="s">
        <v>3</v>
      </c>
      <c r="G61" s="4">
        <v>18.991171508159496</v>
      </c>
      <c r="H61" s="4">
        <f>Table48[[#This Row],[mM]]*N$3*N$1</f>
        <v>0.18991171508159496</v>
      </c>
      <c r="I61" s="5">
        <v>81.599999999999994</v>
      </c>
      <c r="J61" s="4">
        <f>Table48[[#This Row],[mmol/g wet feces]]/Table48[[#This Row],[sCOD (mg/g wet feces)]]*1000</f>
        <v>2.3273494495293501</v>
      </c>
    </row>
    <row r="62" spans="1:10" x14ac:dyDescent="0.2">
      <c r="A62">
        <v>6</v>
      </c>
      <c r="B62" t="s">
        <v>36</v>
      </c>
      <c r="C62" t="s">
        <v>39</v>
      </c>
      <c r="D62" t="s">
        <v>38</v>
      </c>
      <c r="E62" t="s">
        <v>21</v>
      </c>
      <c r="F62" t="s">
        <v>5</v>
      </c>
      <c r="G62" s="4">
        <v>1.9991927724531111</v>
      </c>
      <c r="H62" s="4">
        <f>Table48[[#This Row],[mM]]*N$3*N$1</f>
        <v>1.9991927724531108E-2</v>
      </c>
      <c r="I62" s="5">
        <v>58.999999999999993</v>
      </c>
      <c r="J62" s="4">
        <f>Table48[[#This Row],[mmol/g wet feces]]/Table48[[#This Row],[sCOD (mg/g wet feces)]]*1000</f>
        <v>0.33884623261917141</v>
      </c>
    </row>
    <row r="63" spans="1:10" x14ac:dyDescent="0.2">
      <c r="A63">
        <v>3</v>
      </c>
      <c r="B63" t="s">
        <v>36</v>
      </c>
      <c r="C63" t="s">
        <v>39</v>
      </c>
      <c r="D63" t="s">
        <v>38</v>
      </c>
      <c r="E63" t="s">
        <v>27</v>
      </c>
      <c r="F63" t="s">
        <v>2</v>
      </c>
      <c r="G63" s="4">
        <v>1.0200187374066247</v>
      </c>
      <c r="H63" s="4">
        <f>Table48[[#This Row],[mM]]*N$3*N$1</f>
        <v>1.0200187374066248E-2</v>
      </c>
      <c r="I63" s="5">
        <v>81.599999999999994</v>
      </c>
      <c r="J63" s="4">
        <f>Table48[[#This Row],[mmol/g wet feces]]/Table48[[#This Row],[sCOD (mg/g wet feces)]]*1000</f>
        <v>0.12500229625081186</v>
      </c>
    </row>
    <row r="64" spans="1:10" x14ac:dyDescent="0.2">
      <c r="A64">
        <v>7</v>
      </c>
      <c r="B64" t="s">
        <v>36</v>
      </c>
      <c r="C64" t="s">
        <v>39</v>
      </c>
      <c r="D64" t="s">
        <v>38</v>
      </c>
      <c r="E64" t="s">
        <v>9</v>
      </c>
      <c r="F64" t="s">
        <v>1</v>
      </c>
      <c r="G64" s="4">
        <v>12.285001071841901</v>
      </c>
      <c r="H64" s="4">
        <f>Table48[[#This Row],[mM]]*N$3*N$1</f>
        <v>0.12285001071841901</v>
      </c>
      <c r="I64" s="5">
        <v>69.2</v>
      </c>
      <c r="J64" s="4">
        <f>Table48[[#This Row],[mmol/g wet feces]]/Table48[[#This Row],[sCOD (mg/g wet feces)]]*1000</f>
        <v>1.7752891722314885</v>
      </c>
    </row>
    <row r="65" spans="1:10" x14ac:dyDescent="0.2">
      <c r="A65">
        <v>8</v>
      </c>
      <c r="B65" t="s">
        <v>36</v>
      </c>
      <c r="C65" t="s">
        <v>39</v>
      </c>
      <c r="D65" t="s">
        <v>38</v>
      </c>
      <c r="E65" t="s">
        <v>8</v>
      </c>
      <c r="F65" t="s">
        <v>4</v>
      </c>
      <c r="G65" s="4">
        <v>0.38133517279288998</v>
      </c>
      <c r="H65" s="4">
        <f>Table48[[#This Row],[mM]]*N$3*N$1</f>
        <v>3.8133517279288999E-3</v>
      </c>
      <c r="I65" s="5">
        <v>63.4</v>
      </c>
      <c r="J65" s="4">
        <f>Table48[[#This Row],[mmol/g wet feces]]/Table48[[#This Row],[sCOD (mg/g wet feces)]]*1000</f>
        <v>6.0147503595093063E-2</v>
      </c>
    </row>
    <row r="66" spans="1:10" x14ac:dyDescent="0.2">
      <c r="A66">
        <v>3</v>
      </c>
      <c r="B66" t="s">
        <v>36</v>
      </c>
      <c r="C66" t="s">
        <v>40</v>
      </c>
      <c r="D66" t="s">
        <v>38</v>
      </c>
      <c r="E66" t="s">
        <v>16</v>
      </c>
      <c r="F66" t="s">
        <v>6</v>
      </c>
      <c r="G66" s="4">
        <v>0.72320036498480034</v>
      </c>
      <c r="H66" s="4">
        <f>Table48[[#This Row],[mM]]*N$3*N$1</f>
        <v>7.2320036498480034E-3</v>
      </c>
      <c r="I66" s="5">
        <v>73</v>
      </c>
      <c r="J66" s="4">
        <f>Table48[[#This Row],[mmol/g wet feces]]/Table48[[#This Row],[sCOD (mg/g wet feces)]]*1000</f>
        <v>9.9068543148602792E-2</v>
      </c>
    </row>
    <row r="67" spans="1:10" x14ac:dyDescent="0.2">
      <c r="A67">
        <v>3</v>
      </c>
      <c r="B67" t="s">
        <v>36</v>
      </c>
      <c r="C67" t="s">
        <v>40</v>
      </c>
      <c r="D67" t="s">
        <v>38</v>
      </c>
      <c r="E67" t="s">
        <v>16</v>
      </c>
      <c r="F67" t="s">
        <v>0</v>
      </c>
      <c r="G67" s="4">
        <v>28.008705205174021</v>
      </c>
      <c r="H67" s="4">
        <f>Table48[[#This Row],[mM]]*N$3*N$1</f>
        <v>0.28008705205174023</v>
      </c>
      <c r="I67" s="5">
        <v>73</v>
      </c>
      <c r="J67" s="4">
        <f>Table48[[#This Row],[mmol/g wet feces]]/Table48[[#This Row],[sCOD (mg/g wet feces)]]*1000</f>
        <v>3.8368089322156194</v>
      </c>
    </row>
    <row r="68" spans="1:10" x14ac:dyDescent="0.2">
      <c r="A68">
        <v>3</v>
      </c>
      <c r="B68" t="s">
        <v>36</v>
      </c>
      <c r="C68" t="s">
        <v>40</v>
      </c>
      <c r="D68" t="s">
        <v>38</v>
      </c>
      <c r="E68" t="s">
        <v>16</v>
      </c>
      <c r="F68" t="s">
        <v>3</v>
      </c>
      <c r="G68" s="4">
        <v>16.090945510353322</v>
      </c>
      <c r="H68" s="4">
        <f>Table48[[#This Row],[mM]]*N$3*N$1</f>
        <v>0.16090945510353322</v>
      </c>
      <c r="I68" s="5">
        <v>73</v>
      </c>
      <c r="J68" s="4">
        <f>Table48[[#This Row],[mmol/g wet feces]]/Table48[[#This Row],[sCOD (mg/g wet feces)]]*1000</f>
        <v>2.2042391110073041</v>
      </c>
    </row>
    <row r="69" spans="1:10" x14ac:dyDescent="0.2">
      <c r="A69">
        <v>7</v>
      </c>
      <c r="B69" t="s">
        <v>36</v>
      </c>
      <c r="C69" t="s">
        <v>39</v>
      </c>
      <c r="D69" t="s">
        <v>38</v>
      </c>
      <c r="E69" t="s">
        <v>9</v>
      </c>
      <c r="F69" t="s">
        <v>5</v>
      </c>
      <c r="G69" s="4">
        <v>4.2354107588252914</v>
      </c>
      <c r="H69" s="4">
        <f>Table48[[#This Row],[mM]]*N$3*N$1</f>
        <v>4.2354107588252914E-2</v>
      </c>
      <c r="I69" s="5">
        <v>69.2</v>
      </c>
      <c r="J69" s="4">
        <f>Table48[[#This Row],[mmol/g wet feces]]/Table48[[#This Row],[sCOD (mg/g wet feces)]]*1000</f>
        <v>0.61205357786492642</v>
      </c>
    </row>
    <row r="70" spans="1:10" x14ac:dyDescent="0.2">
      <c r="A70">
        <v>8</v>
      </c>
      <c r="B70" t="s">
        <v>36</v>
      </c>
      <c r="C70" t="s">
        <v>39</v>
      </c>
      <c r="D70" t="s">
        <v>38</v>
      </c>
      <c r="E70" t="s">
        <v>8</v>
      </c>
      <c r="F70" t="s">
        <v>1</v>
      </c>
      <c r="G70" s="4">
        <v>8.086309064187768</v>
      </c>
      <c r="H70" s="4">
        <f>Table48[[#This Row],[mM]]*N$3*N$1</f>
        <v>8.0863090641877675E-2</v>
      </c>
      <c r="I70" s="5">
        <v>63.4</v>
      </c>
      <c r="J70" s="4">
        <f>Table48[[#This Row],[mmol/g wet feces]]/Table48[[#This Row],[sCOD (mg/g wet feces)]]*1000</f>
        <v>1.2754430700611621</v>
      </c>
    </row>
    <row r="71" spans="1:10" x14ac:dyDescent="0.2">
      <c r="A71">
        <v>3</v>
      </c>
      <c r="B71" t="s">
        <v>36</v>
      </c>
      <c r="C71" t="s">
        <v>40</v>
      </c>
      <c r="D71" t="s">
        <v>38</v>
      </c>
      <c r="E71" t="s">
        <v>16</v>
      </c>
      <c r="F71" t="s">
        <v>4</v>
      </c>
      <c r="G71" s="4">
        <v>0.39908621766507579</v>
      </c>
      <c r="H71" s="4">
        <f>Table48[[#This Row],[mM]]*N$3*N$1</f>
        <v>3.9908621766507578E-3</v>
      </c>
      <c r="I71" s="5">
        <v>73</v>
      </c>
      <c r="J71" s="4">
        <f>Table48[[#This Row],[mmol/g wet feces]]/Table48[[#This Row],[sCOD (mg/g wet feces)]]*1000</f>
        <v>5.4669344885626817E-2</v>
      </c>
    </row>
    <row r="72" spans="1:10" x14ac:dyDescent="0.2">
      <c r="A72">
        <v>8</v>
      </c>
      <c r="B72" t="s">
        <v>36</v>
      </c>
      <c r="C72" t="s">
        <v>39</v>
      </c>
      <c r="D72" t="s">
        <v>38</v>
      </c>
      <c r="E72" t="s">
        <v>8</v>
      </c>
      <c r="F72" t="s">
        <v>5</v>
      </c>
      <c r="G72" s="4">
        <v>1.0808253246547881</v>
      </c>
      <c r="H72" s="4">
        <f>Table48[[#This Row],[mM]]*N$3*N$1</f>
        <v>1.0808253246547881E-2</v>
      </c>
      <c r="I72" s="5">
        <v>63.4</v>
      </c>
      <c r="J72" s="4">
        <f>Table48[[#This Row],[mmol/g wet feces]]/Table48[[#This Row],[sCOD (mg/g wet feces)]]*1000</f>
        <v>0.17047718054491928</v>
      </c>
    </row>
    <row r="73" spans="1:10" x14ac:dyDescent="0.2">
      <c r="A73">
        <v>2</v>
      </c>
      <c r="B73" t="s">
        <v>36</v>
      </c>
      <c r="C73" t="s">
        <v>40</v>
      </c>
      <c r="D73" t="s">
        <v>38</v>
      </c>
      <c r="E73" t="s">
        <v>20</v>
      </c>
      <c r="F73" t="s">
        <v>1</v>
      </c>
      <c r="G73" s="4">
        <v>6.7214963570526756</v>
      </c>
      <c r="H73" s="4">
        <f>Table48[[#This Row],[mM]]*N$3*N$1</f>
        <v>6.7214963570526753E-2</v>
      </c>
      <c r="I73" s="5">
        <v>65</v>
      </c>
      <c r="J73" s="4">
        <f>Table48[[#This Row],[mmol/g wet feces]]/Table48[[#This Row],[sCOD (mg/g wet feces)]]*1000</f>
        <v>1.0340763626234886</v>
      </c>
    </row>
    <row r="74" spans="1:10" x14ac:dyDescent="0.2">
      <c r="A74">
        <v>4</v>
      </c>
      <c r="B74" t="s">
        <v>36</v>
      </c>
      <c r="C74" t="s">
        <v>40</v>
      </c>
      <c r="D74" t="s">
        <v>38</v>
      </c>
      <c r="E74" t="s">
        <v>11</v>
      </c>
      <c r="F74" t="s">
        <v>4</v>
      </c>
      <c r="G74" s="4">
        <v>1.226978470352891</v>
      </c>
      <c r="H74" s="4">
        <f>Table48[[#This Row],[mM]]*N$3*N$1</f>
        <v>1.2269784703528909E-2</v>
      </c>
      <c r="I74" s="5">
        <v>102.4</v>
      </c>
      <c r="J74" s="4">
        <f>Table48[[#This Row],[mmol/g wet feces]]/Table48[[#This Row],[sCOD (mg/g wet feces)]]*1000</f>
        <v>0.1198221162453995</v>
      </c>
    </row>
    <row r="75" spans="1:10" x14ac:dyDescent="0.2">
      <c r="A75">
        <v>2</v>
      </c>
      <c r="B75" t="s">
        <v>36</v>
      </c>
      <c r="C75" t="s">
        <v>40</v>
      </c>
      <c r="D75" t="s">
        <v>38</v>
      </c>
      <c r="E75" t="s">
        <v>20</v>
      </c>
      <c r="F75" t="s">
        <v>5</v>
      </c>
      <c r="G75" s="4">
        <v>3.1821814861888624</v>
      </c>
      <c r="H75" s="4">
        <f>Table48[[#This Row],[mM]]*N$3*N$1</f>
        <v>3.1821814861888627E-2</v>
      </c>
      <c r="I75" s="5">
        <v>65</v>
      </c>
      <c r="J75" s="4">
        <f>Table48[[#This Row],[mmol/g wet feces]]/Table48[[#This Row],[sCOD (mg/g wet feces)]]*1000</f>
        <v>0.48956638249059431</v>
      </c>
    </row>
    <row r="76" spans="1:10" x14ac:dyDescent="0.2">
      <c r="A76">
        <v>3</v>
      </c>
      <c r="B76" t="s">
        <v>36</v>
      </c>
      <c r="C76" t="s">
        <v>40</v>
      </c>
      <c r="D76" t="s">
        <v>38</v>
      </c>
      <c r="E76" t="s">
        <v>16</v>
      </c>
      <c r="F76" t="s">
        <v>1</v>
      </c>
      <c r="G76" s="4">
        <v>6.6467886750806624</v>
      </c>
      <c r="H76" s="4">
        <f>Table48[[#This Row],[mM]]*N$3*N$1</f>
        <v>6.6467886750806629E-2</v>
      </c>
      <c r="I76" s="5">
        <v>73</v>
      </c>
      <c r="J76" s="4">
        <f>Table48[[#This Row],[mmol/g wet feces]]/Table48[[#This Row],[sCOD (mg/g wet feces)]]*1000</f>
        <v>0.91051899658639224</v>
      </c>
    </row>
    <row r="77" spans="1:10" x14ac:dyDescent="0.2">
      <c r="A77">
        <v>5</v>
      </c>
      <c r="B77" t="s">
        <v>36</v>
      </c>
      <c r="C77" t="s">
        <v>40</v>
      </c>
      <c r="D77" t="s">
        <v>38</v>
      </c>
      <c r="E77" t="s">
        <v>13</v>
      </c>
      <c r="F77" t="s">
        <v>4</v>
      </c>
      <c r="G77" s="4">
        <v>0.63251267418217094</v>
      </c>
      <c r="H77" s="4">
        <f>Table48[[#This Row],[mM]]*20*N$1</f>
        <v>1.2650253483643419E-2</v>
      </c>
      <c r="I77" s="5">
        <v>76.400000000000006</v>
      </c>
      <c r="J77" s="4">
        <f>Table48[[#This Row],[mmol/g wet feces]]/Table48[[#This Row],[sCOD (mg/g wet feces)]]*1000</f>
        <v>0.16557923407910233</v>
      </c>
    </row>
    <row r="78" spans="1:10" x14ac:dyDescent="0.2">
      <c r="A78">
        <v>3</v>
      </c>
      <c r="B78" t="s">
        <v>36</v>
      </c>
      <c r="C78" t="s">
        <v>40</v>
      </c>
      <c r="D78" t="s">
        <v>38</v>
      </c>
      <c r="E78" t="s">
        <v>16</v>
      </c>
      <c r="F78" t="s">
        <v>5</v>
      </c>
      <c r="G78" s="4">
        <v>1.999733581356383</v>
      </c>
      <c r="H78" s="4">
        <f>Table48[[#This Row],[mM]]*N$3*N$1</f>
        <v>1.9997335813563829E-2</v>
      </c>
      <c r="I78" s="5">
        <v>73</v>
      </c>
      <c r="J78" s="4">
        <f>Table48[[#This Row],[mmol/g wet feces]]/Table48[[#This Row],[sCOD (mg/g wet feces)]]*1000</f>
        <v>0.27393610703512095</v>
      </c>
    </row>
    <row r="79" spans="1:10" x14ac:dyDescent="0.2">
      <c r="A79">
        <v>4</v>
      </c>
      <c r="B79" t="s">
        <v>36</v>
      </c>
      <c r="C79" t="s">
        <v>40</v>
      </c>
      <c r="D79" t="s">
        <v>38</v>
      </c>
      <c r="E79" t="s">
        <v>11</v>
      </c>
      <c r="F79" t="s">
        <v>1</v>
      </c>
      <c r="G79" s="4">
        <v>14.351198268832853</v>
      </c>
      <c r="H79" s="4">
        <f>Table48[[#This Row],[mM]]*N$3*N$1</f>
        <v>0.14351198268832854</v>
      </c>
      <c r="I79" s="5">
        <v>102.4</v>
      </c>
      <c r="J79" s="4">
        <f>Table48[[#This Row],[mmol/g wet feces]]/Table48[[#This Row],[sCOD (mg/g wet feces)]]*1000</f>
        <v>1.4014842059407084</v>
      </c>
    </row>
    <row r="80" spans="1:10" x14ac:dyDescent="0.2">
      <c r="A80">
        <v>4</v>
      </c>
      <c r="B80" t="s">
        <v>36</v>
      </c>
      <c r="C80" t="s">
        <v>37</v>
      </c>
      <c r="D80" t="s">
        <v>38</v>
      </c>
      <c r="E80" t="s">
        <v>26</v>
      </c>
      <c r="F80" t="s">
        <v>6</v>
      </c>
      <c r="G80" s="4">
        <v>5.0770011972620344</v>
      </c>
      <c r="H80" s="4">
        <f>Table48[[#This Row],[mM]]*N$3*N$1</f>
        <v>5.0770011972620349E-2</v>
      </c>
      <c r="I80" s="5">
        <v>71.399999999999991</v>
      </c>
      <c r="J80" s="4">
        <f>Table48[[#This Row],[mmol/g wet feces]]/Table48[[#This Row],[sCOD (mg/g wet feces)]]*1000</f>
        <v>0.71106459345406658</v>
      </c>
    </row>
    <row r="81" spans="1:10" x14ac:dyDescent="0.2">
      <c r="A81">
        <v>4</v>
      </c>
      <c r="B81" t="s">
        <v>36</v>
      </c>
      <c r="C81" t="s">
        <v>37</v>
      </c>
      <c r="D81" t="s">
        <v>38</v>
      </c>
      <c r="E81" t="s">
        <v>26</v>
      </c>
      <c r="F81" t="s">
        <v>0</v>
      </c>
      <c r="G81" s="4">
        <v>24.013208134053741</v>
      </c>
      <c r="H81" s="4">
        <f>Table48[[#This Row],[mM]]*N$3*N$1</f>
        <v>0.24013208134053743</v>
      </c>
      <c r="I81" s="5">
        <v>71.399999999999991</v>
      </c>
      <c r="J81" s="4">
        <f>Table48[[#This Row],[mmol/g wet feces]]/Table48[[#This Row],[sCOD (mg/g wet feces)]]*1000</f>
        <v>3.3631944165341383</v>
      </c>
    </row>
    <row r="82" spans="1:10" x14ac:dyDescent="0.2">
      <c r="A82">
        <v>4</v>
      </c>
      <c r="B82" t="s">
        <v>36</v>
      </c>
      <c r="C82" t="s">
        <v>37</v>
      </c>
      <c r="D82" t="s">
        <v>38</v>
      </c>
      <c r="E82" t="s">
        <v>26</v>
      </c>
      <c r="F82" t="s">
        <v>3</v>
      </c>
      <c r="G82" s="4">
        <v>4.6965264924996148</v>
      </c>
      <c r="H82" s="4">
        <f>Table48[[#This Row],[mM]]*N$3*N$1</f>
        <v>4.6965264924996149E-2</v>
      </c>
      <c r="I82" s="5">
        <v>71.399999999999991</v>
      </c>
      <c r="J82" s="4">
        <f>Table48[[#This Row],[mmol/g wet feces]]/Table48[[#This Row],[sCOD (mg/g wet feces)]]*1000</f>
        <v>0.65777681967781731</v>
      </c>
    </row>
    <row r="83" spans="1:10" x14ac:dyDescent="0.2">
      <c r="A83">
        <v>4</v>
      </c>
      <c r="B83" t="s">
        <v>36</v>
      </c>
      <c r="C83" t="s">
        <v>37</v>
      </c>
      <c r="D83" t="s">
        <v>38</v>
      </c>
      <c r="E83" t="s">
        <v>26</v>
      </c>
      <c r="F83" t="s">
        <v>3</v>
      </c>
      <c r="G83" s="4">
        <v>23.221992665595412</v>
      </c>
      <c r="H83" s="4">
        <f>Table48[[#This Row],[mM]]*N$3*N$1</f>
        <v>0.23221992665595412</v>
      </c>
      <c r="I83" s="5">
        <v>71.399999999999991</v>
      </c>
      <c r="J83" s="4">
        <f>Table48[[#This Row],[mmol/g wet feces]]/Table48[[#This Row],[sCOD (mg/g wet feces)]]*1000</f>
        <v>3.2523799251534191</v>
      </c>
    </row>
    <row r="84" spans="1:10" x14ac:dyDescent="0.2">
      <c r="A84">
        <v>4</v>
      </c>
      <c r="B84" t="s">
        <v>36</v>
      </c>
      <c r="C84" t="s">
        <v>40</v>
      </c>
      <c r="D84" t="s">
        <v>38</v>
      </c>
      <c r="E84" t="s">
        <v>11</v>
      </c>
      <c r="F84" t="s">
        <v>5</v>
      </c>
      <c r="G84" s="4">
        <v>5.0946159113442953</v>
      </c>
      <c r="H84" s="4">
        <f>Table48[[#This Row],[mM]]*N$3*N$1</f>
        <v>5.0946159113442954E-2</v>
      </c>
      <c r="I84" s="5">
        <v>102.4</v>
      </c>
      <c r="J84" s="4">
        <f>Table48[[#This Row],[mmol/g wet feces]]/Table48[[#This Row],[sCOD (mg/g wet feces)]]*1000</f>
        <v>0.49752108509221626</v>
      </c>
    </row>
    <row r="85" spans="1:10" x14ac:dyDescent="0.2">
      <c r="A85">
        <v>5</v>
      </c>
      <c r="B85" t="s">
        <v>36</v>
      </c>
      <c r="C85" t="s">
        <v>40</v>
      </c>
      <c r="D85" t="s">
        <v>38</v>
      </c>
      <c r="E85" t="s">
        <v>13</v>
      </c>
      <c r="F85" t="s">
        <v>1</v>
      </c>
      <c r="G85" s="4">
        <v>5.5380073390483693</v>
      </c>
      <c r="H85" s="4">
        <f>Table48[[#This Row],[mM]]*20*N$1</f>
        <v>0.11076014678096739</v>
      </c>
      <c r="I85" s="5">
        <v>76.400000000000006</v>
      </c>
      <c r="J85" s="4">
        <f>Table48[[#This Row],[mmol/g wet feces]]/Table48[[#This Row],[sCOD (mg/g wet feces)]]*1000</f>
        <v>1.4497401411121387</v>
      </c>
    </row>
    <row r="86" spans="1:10" x14ac:dyDescent="0.2">
      <c r="A86">
        <v>6</v>
      </c>
      <c r="B86" t="s">
        <v>36</v>
      </c>
      <c r="C86" t="s">
        <v>40</v>
      </c>
      <c r="D86" t="s">
        <v>38</v>
      </c>
      <c r="E86" t="s">
        <v>17</v>
      </c>
      <c r="F86" t="s">
        <v>4</v>
      </c>
      <c r="G86" s="4">
        <v>1.0323404720385014</v>
      </c>
      <c r="H86" s="4">
        <f>Table48[[#This Row],[mM]]*N$3*N$1</f>
        <v>1.0323404720385013E-2</v>
      </c>
      <c r="I86" s="5">
        <v>65</v>
      </c>
      <c r="J86" s="4">
        <f>Table48[[#This Row],[mmol/g wet feces]]/Table48[[#This Row],[sCOD (mg/g wet feces)]]*1000</f>
        <v>0.15882161108284637</v>
      </c>
    </row>
    <row r="87" spans="1:10" x14ac:dyDescent="0.2">
      <c r="A87">
        <v>4</v>
      </c>
      <c r="B87" t="s">
        <v>36</v>
      </c>
      <c r="C87" t="s">
        <v>39</v>
      </c>
      <c r="D87" t="s">
        <v>38</v>
      </c>
      <c r="E87" t="s">
        <v>15</v>
      </c>
      <c r="F87" t="s">
        <v>6</v>
      </c>
      <c r="G87" s="4">
        <v>7.6273523576035096</v>
      </c>
      <c r="H87" s="4">
        <f>Table48[[#This Row],[mM]]*N$3*N$1</f>
        <v>7.6273523576035104E-2</v>
      </c>
      <c r="I87" s="5">
        <v>70.2</v>
      </c>
      <c r="J87" s="4">
        <f>Table48[[#This Row],[mmol/g wet feces]]/Table48[[#This Row],[sCOD (mg/g wet feces)]]*1000</f>
        <v>1.08651742985805</v>
      </c>
    </row>
    <row r="88" spans="1:10" x14ac:dyDescent="0.2">
      <c r="A88">
        <v>4</v>
      </c>
      <c r="B88" t="s">
        <v>36</v>
      </c>
      <c r="C88" t="s">
        <v>39</v>
      </c>
      <c r="D88" t="s">
        <v>38</v>
      </c>
      <c r="E88" t="s">
        <v>15</v>
      </c>
      <c r="F88" t="s">
        <v>0</v>
      </c>
      <c r="G88" s="4">
        <v>7.5912043866253791</v>
      </c>
      <c r="H88" s="4">
        <f>Table48[[#This Row],[mM]]*N$3*N$1</f>
        <v>7.5912043866253803E-2</v>
      </c>
      <c r="I88" s="5">
        <v>70.2</v>
      </c>
      <c r="J88" s="4">
        <f>Table48[[#This Row],[mmol/g wet feces]]/Table48[[#This Row],[sCOD (mg/g wet feces)]]*1000</f>
        <v>1.0813681462429316</v>
      </c>
    </row>
    <row r="89" spans="1:10" x14ac:dyDescent="0.2">
      <c r="A89">
        <v>4</v>
      </c>
      <c r="B89" t="s">
        <v>36</v>
      </c>
      <c r="C89" t="s">
        <v>39</v>
      </c>
      <c r="D89" t="s">
        <v>38</v>
      </c>
      <c r="E89" t="s">
        <v>15</v>
      </c>
      <c r="F89" t="s">
        <v>3</v>
      </c>
      <c r="G89" s="4">
        <v>16.508146902182283</v>
      </c>
      <c r="H89" s="4">
        <f>Table48[[#This Row],[mM]]*N$3*N$1</f>
        <v>0.16508146902182286</v>
      </c>
      <c r="I89" s="5">
        <v>70.2</v>
      </c>
      <c r="J89" s="4">
        <f>Table48[[#This Row],[mmol/g wet feces]]/Table48[[#This Row],[sCOD (mg/g wet feces)]]*1000</f>
        <v>2.3515878778037442</v>
      </c>
    </row>
    <row r="90" spans="1:10" x14ac:dyDescent="0.2">
      <c r="A90">
        <v>5</v>
      </c>
      <c r="B90" t="s">
        <v>36</v>
      </c>
      <c r="C90" t="s">
        <v>40</v>
      </c>
      <c r="D90" t="s">
        <v>38</v>
      </c>
      <c r="E90" t="s">
        <v>13</v>
      </c>
      <c r="F90" t="s">
        <v>5</v>
      </c>
      <c r="G90" s="4">
        <v>2.6547257820891517</v>
      </c>
      <c r="H90" s="4">
        <f>Table48[[#This Row],[mM]]*20*N$1</f>
        <v>5.3094515641783031E-2</v>
      </c>
      <c r="I90" s="5">
        <v>76.400000000000006</v>
      </c>
      <c r="J90" s="4">
        <f>Table48[[#This Row],[mmol/g wet feces]]/Table48[[#This Row],[sCOD (mg/g wet feces)]]*1000</f>
        <v>0.69495439321705532</v>
      </c>
    </row>
    <row r="91" spans="1:10" x14ac:dyDescent="0.2">
      <c r="A91">
        <v>6</v>
      </c>
      <c r="B91" t="s">
        <v>36</v>
      </c>
      <c r="C91" t="s">
        <v>40</v>
      </c>
      <c r="D91" t="s">
        <v>38</v>
      </c>
      <c r="E91" t="s">
        <v>17</v>
      </c>
      <c r="F91" t="s">
        <v>1</v>
      </c>
      <c r="G91" s="4">
        <v>12.07537953724486</v>
      </c>
      <c r="H91" s="4">
        <f>Table48[[#This Row],[mM]]*N$3*N$1</f>
        <v>0.1207537953724486</v>
      </c>
      <c r="I91" s="5">
        <v>65</v>
      </c>
      <c r="J91" s="4">
        <f>Table48[[#This Row],[mmol/g wet feces]]/Table48[[#This Row],[sCOD (mg/g wet feces)]]*1000</f>
        <v>1.8577506980376706</v>
      </c>
    </row>
    <row r="92" spans="1:10" x14ac:dyDescent="0.2">
      <c r="A92">
        <v>7</v>
      </c>
      <c r="B92" t="s">
        <v>36</v>
      </c>
      <c r="C92" t="s">
        <v>40</v>
      </c>
      <c r="D92" t="s">
        <v>38</v>
      </c>
      <c r="E92" t="s">
        <v>25</v>
      </c>
      <c r="F92" t="s">
        <v>4</v>
      </c>
      <c r="G92" s="4">
        <v>0.42694920409428483</v>
      </c>
      <c r="H92" s="4">
        <f>Table48[[#This Row],[mM]]*N$3*N$1</f>
        <v>4.2694920409428487E-3</v>
      </c>
      <c r="I92" s="5">
        <v>61.8</v>
      </c>
      <c r="J92" s="4">
        <f>Table48[[#This Row],[mmol/g wet feces]]/Table48[[#This Row],[sCOD (mg/g wet feces)]]*1000</f>
        <v>6.908563173046682E-2</v>
      </c>
    </row>
    <row r="93" spans="1:10" x14ac:dyDescent="0.2">
      <c r="A93">
        <v>4</v>
      </c>
      <c r="B93" t="s">
        <v>36</v>
      </c>
      <c r="C93" t="s">
        <v>40</v>
      </c>
      <c r="D93" t="s">
        <v>38</v>
      </c>
      <c r="E93" t="s">
        <v>11</v>
      </c>
      <c r="F93" t="s">
        <v>6</v>
      </c>
      <c r="G93" s="4">
        <v>0.54106229188607635</v>
      </c>
      <c r="H93" s="4">
        <f>Table48[[#This Row],[mM]]*N$3*N$1</f>
        <v>5.4106229188607639E-3</v>
      </c>
      <c r="I93" s="5">
        <v>102.4</v>
      </c>
      <c r="J93" s="4">
        <f>Table48[[#This Row],[mmol/g wet feces]]/Table48[[#This Row],[sCOD (mg/g wet feces)]]*1000</f>
        <v>5.2838114441999644E-2</v>
      </c>
    </row>
    <row r="94" spans="1:10" x14ac:dyDescent="0.2">
      <c r="A94">
        <v>4</v>
      </c>
      <c r="B94" t="s">
        <v>36</v>
      </c>
      <c r="C94" t="s">
        <v>40</v>
      </c>
      <c r="D94" t="s">
        <v>38</v>
      </c>
      <c r="E94" t="s">
        <v>11</v>
      </c>
      <c r="F94" t="s">
        <v>0</v>
      </c>
      <c r="G94" s="4">
        <v>38.610088668370487</v>
      </c>
      <c r="H94" s="4">
        <f>Table48[[#This Row],[mM]]*N$3*N$1</f>
        <v>0.38610088668370485</v>
      </c>
      <c r="I94" s="5">
        <v>102.4</v>
      </c>
      <c r="J94" s="4">
        <f>Table48[[#This Row],[mmol/g wet feces]]/Table48[[#This Row],[sCOD (mg/g wet feces)]]*1000</f>
        <v>3.7705164715205552</v>
      </c>
    </row>
    <row r="95" spans="1:10" x14ac:dyDescent="0.2">
      <c r="A95">
        <v>4</v>
      </c>
      <c r="B95" t="s">
        <v>36</v>
      </c>
      <c r="C95" t="s">
        <v>40</v>
      </c>
      <c r="D95" t="s">
        <v>38</v>
      </c>
      <c r="E95" t="s">
        <v>11</v>
      </c>
      <c r="F95" t="s">
        <v>3</v>
      </c>
      <c r="G95" s="4">
        <v>39.973119347047962</v>
      </c>
      <c r="H95" s="4">
        <f>Table48[[#This Row],[mM]]*N$3*N$1</f>
        <v>0.39973119347047964</v>
      </c>
      <c r="I95" s="5">
        <v>102.4</v>
      </c>
      <c r="J95" s="4">
        <f>Table48[[#This Row],[mmol/g wet feces]]/Table48[[#This Row],[sCOD (mg/g wet feces)]]*1000</f>
        <v>3.9036249362351523</v>
      </c>
    </row>
    <row r="96" spans="1:10" x14ac:dyDescent="0.2">
      <c r="A96">
        <v>6</v>
      </c>
      <c r="B96" t="s">
        <v>36</v>
      </c>
      <c r="C96" t="s">
        <v>40</v>
      </c>
      <c r="D96" t="s">
        <v>38</v>
      </c>
      <c r="E96" t="s">
        <v>17</v>
      </c>
      <c r="F96" t="s">
        <v>5</v>
      </c>
      <c r="G96" s="4">
        <v>6.1599787894788482</v>
      </c>
      <c r="H96" s="4">
        <f>Table48[[#This Row],[mM]]*N$3*N$1</f>
        <v>6.1599787894788482E-2</v>
      </c>
      <c r="I96" s="5">
        <v>65</v>
      </c>
      <c r="J96" s="4">
        <f>Table48[[#This Row],[mmol/g wet feces]]/Table48[[#This Row],[sCOD (mg/g wet feces)]]*1000</f>
        <v>0.94768904453520741</v>
      </c>
    </row>
    <row r="97" spans="1:10" x14ac:dyDescent="0.2">
      <c r="A97">
        <v>7</v>
      </c>
      <c r="B97" t="s">
        <v>36</v>
      </c>
      <c r="C97" t="s">
        <v>40</v>
      </c>
      <c r="D97" t="s">
        <v>38</v>
      </c>
      <c r="E97" t="s">
        <v>25</v>
      </c>
      <c r="F97" t="s">
        <v>1</v>
      </c>
      <c r="G97" s="4">
        <v>4.3871640170179562</v>
      </c>
      <c r="H97" s="4">
        <f>Table48[[#This Row],[mM]]*N$3*N$1</f>
        <v>4.3871640170179561E-2</v>
      </c>
      <c r="I97" s="5">
        <v>61.8</v>
      </c>
      <c r="J97" s="4">
        <f>Table48[[#This Row],[mmol/g wet feces]]/Table48[[#This Row],[sCOD (mg/g wet feces)]]*1000</f>
        <v>0.70989709013235536</v>
      </c>
    </row>
    <row r="98" spans="1:10" x14ac:dyDescent="0.2">
      <c r="A98">
        <v>8</v>
      </c>
      <c r="B98" t="s">
        <v>36</v>
      </c>
      <c r="C98" t="s">
        <v>40</v>
      </c>
      <c r="D98" t="s">
        <v>38</v>
      </c>
      <c r="E98" t="s">
        <v>24</v>
      </c>
      <c r="F98" t="s">
        <v>4</v>
      </c>
      <c r="G98" s="4">
        <v>1.4001902020722004</v>
      </c>
      <c r="H98" s="4">
        <f>Table48[[#This Row],[mM]]*N$3*N$1</f>
        <v>1.4001902020722004E-2</v>
      </c>
      <c r="I98" s="5">
        <v>81.599999999999994</v>
      </c>
      <c r="J98" s="4">
        <f>Table48[[#This Row],[mmol/g wet feces]]/Table48[[#This Row],[sCOD (mg/g wet feces)]]*1000</f>
        <v>0.17159193652845595</v>
      </c>
    </row>
    <row r="99" spans="1:10" x14ac:dyDescent="0.2">
      <c r="A99">
        <v>7</v>
      </c>
      <c r="B99" t="s">
        <v>36</v>
      </c>
      <c r="C99" t="s">
        <v>40</v>
      </c>
      <c r="D99" t="s">
        <v>38</v>
      </c>
      <c r="E99" t="s">
        <v>25</v>
      </c>
      <c r="F99" t="s">
        <v>5</v>
      </c>
      <c r="G99" s="4">
        <v>3.1154760060780387</v>
      </c>
      <c r="H99" s="4">
        <f>Table48[[#This Row],[mM]]*N$3*N$1</f>
        <v>3.1154760060780388E-2</v>
      </c>
      <c r="I99" s="5">
        <v>61.8</v>
      </c>
      <c r="J99" s="4">
        <f>Table48[[#This Row],[mmol/g wet feces]]/Table48[[#This Row],[sCOD (mg/g wet feces)]]*1000</f>
        <v>0.50412233108058879</v>
      </c>
    </row>
    <row r="100" spans="1:10" x14ac:dyDescent="0.2">
      <c r="A100">
        <v>8</v>
      </c>
      <c r="B100" t="s">
        <v>36</v>
      </c>
      <c r="C100" t="s">
        <v>40</v>
      </c>
      <c r="D100" t="s">
        <v>38</v>
      </c>
      <c r="E100" t="s">
        <v>24</v>
      </c>
      <c r="F100" t="s">
        <v>1</v>
      </c>
      <c r="G100" s="4">
        <v>9.3396441857508599</v>
      </c>
      <c r="H100" s="4">
        <f>Table48[[#This Row],[mM]]*N$3*N$1</f>
        <v>9.3396441857508589E-2</v>
      </c>
      <c r="I100" s="5">
        <v>81.599999999999994</v>
      </c>
      <c r="J100" s="4">
        <f>Table48[[#This Row],[mmol/g wet feces]]/Table48[[#This Row],[sCOD (mg/g wet feces)]]*1000</f>
        <v>1.1445642384498602</v>
      </c>
    </row>
    <row r="101" spans="1:10" x14ac:dyDescent="0.2">
      <c r="A101">
        <v>8</v>
      </c>
      <c r="B101" t="s">
        <v>36</v>
      </c>
      <c r="C101" t="s">
        <v>40</v>
      </c>
      <c r="D101" t="s">
        <v>38</v>
      </c>
      <c r="E101" t="s">
        <v>24</v>
      </c>
      <c r="F101" t="s">
        <v>5</v>
      </c>
      <c r="G101" s="4">
        <v>3.1601696964337358</v>
      </c>
      <c r="H101" s="4">
        <f>Table48[[#This Row],[mM]]*N$3*N$1</f>
        <v>3.1601696964337359E-2</v>
      </c>
      <c r="I101" s="5">
        <v>81.599999999999994</v>
      </c>
      <c r="J101" s="4">
        <f>Table48[[#This Row],[mmol/g wet feces]]/Table48[[#This Row],[sCOD (mg/g wet feces)]]*1000</f>
        <v>0.38727569809236961</v>
      </c>
    </row>
    <row r="102" spans="1:10" x14ac:dyDescent="0.2">
      <c r="A102">
        <v>5</v>
      </c>
      <c r="B102" t="s">
        <v>36</v>
      </c>
      <c r="C102" t="s">
        <v>39</v>
      </c>
      <c r="D102" t="s">
        <v>38</v>
      </c>
      <c r="E102" t="s">
        <v>19</v>
      </c>
      <c r="F102" t="s">
        <v>6</v>
      </c>
      <c r="G102" s="4">
        <v>5.7037195015259607</v>
      </c>
      <c r="H102" s="4">
        <f>Table48[[#This Row],[mM]]*N$3*N$1</f>
        <v>5.7037195015259605E-2</v>
      </c>
      <c r="I102" s="5">
        <v>64</v>
      </c>
      <c r="J102" s="4">
        <f>Table48[[#This Row],[mmol/g wet feces]]/Table48[[#This Row],[sCOD (mg/g wet feces)]]*1000</f>
        <v>0.89120617211343134</v>
      </c>
    </row>
    <row r="103" spans="1:10" x14ac:dyDescent="0.2">
      <c r="A103">
        <v>5</v>
      </c>
      <c r="B103" t="s">
        <v>36</v>
      </c>
      <c r="C103" t="s">
        <v>39</v>
      </c>
      <c r="D103" t="s">
        <v>38</v>
      </c>
      <c r="E103" t="s">
        <v>19</v>
      </c>
      <c r="F103" t="s">
        <v>0</v>
      </c>
      <c r="G103" s="4">
        <v>15.176049687559651</v>
      </c>
      <c r="H103" s="4">
        <f>Table48[[#This Row],[mM]]*N$3*N$1</f>
        <v>0.15176049687559651</v>
      </c>
      <c r="I103" s="5">
        <v>64</v>
      </c>
      <c r="J103" s="4">
        <f>Table48[[#This Row],[mmol/g wet feces]]/Table48[[#This Row],[sCOD (mg/g wet feces)]]*1000</f>
        <v>2.3712577636811956</v>
      </c>
    </row>
    <row r="104" spans="1:10" x14ac:dyDescent="0.2">
      <c r="A104">
        <v>5</v>
      </c>
      <c r="B104" t="s">
        <v>36</v>
      </c>
      <c r="C104" t="s">
        <v>39</v>
      </c>
      <c r="D104" t="s">
        <v>38</v>
      </c>
      <c r="E104" t="s">
        <v>19</v>
      </c>
      <c r="F104" t="s">
        <v>3</v>
      </c>
      <c r="G104" s="4">
        <v>14.48997536756216</v>
      </c>
      <c r="H104" s="4">
        <f>Table48[[#This Row],[mM]]*N$3*N$1</f>
        <v>0.14489975367562158</v>
      </c>
      <c r="I104" s="5">
        <v>64</v>
      </c>
      <c r="J104" s="4">
        <f>Table48[[#This Row],[mmol/g wet feces]]/Table48[[#This Row],[sCOD (mg/g wet feces)]]*1000</f>
        <v>2.2640586511815872</v>
      </c>
    </row>
    <row r="105" spans="1:10" x14ac:dyDescent="0.2">
      <c r="A105">
        <v>5</v>
      </c>
      <c r="B105" t="s">
        <v>36</v>
      </c>
      <c r="C105" t="s">
        <v>40</v>
      </c>
      <c r="D105" t="s">
        <v>38</v>
      </c>
      <c r="E105" t="s">
        <v>13</v>
      </c>
      <c r="F105" t="s">
        <v>6</v>
      </c>
      <c r="G105" s="4">
        <v>4.4390061646046046</v>
      </c>
      <c r="H105" s="4">
        <f>Table48[[#This Row],[mM]]*20*N$1</f>
        <v>8.8780123292092103E-2</v>
      </c>
      <c r="I105" s="5">
        <v>76.400000000000006</v>
      </c>
      <c r="J105" s="4">
        <f>Table48[[#This Row],[mmol/g wet feces]]/Table48[[#This Row],[sCOD (mg/g wet feces)]]*1000</f>
        <v>1.1620434985875929</v>
      </c>
    </row>
    <row r="106" spans="1:10" x14ac:dyDescent="0.2">
      <c r="A106">
        <v>5</v>
      </c>
      <c r="B106" t="s">
        <v>36</v>
      </c>
      <c r="C106" t="s">
        <v>40</v>
      </c>
      <c r="D106" t="s">
        <v>38</v>
      </c>
      <c r="E106" t="s">
        <v>13</v>
      </c>
      <c r="F106" t="s">
        <v>0</v>
      </c>
      <c r="G106" s="4">
        <v>2.1392486663787991</v>
      </c>
      <c r="H106" s="4">
        <f>Table48[[#This Row],[mM]]*20*N$1</f>
        <v>4.2784973327575984E-2</v>
      </c>
      <c r="I106" s="5">
        <v>76.400000000000006</v>
      </c>
      <c r="J106" s="4">
        <f>Table48[[#This Row],[mmol/g wet feces]]/Table48[[#This Row],[sCOD (mg/g wet feces)]]*1000</f>
        <v>0.56001273988973799</v>
      </c>
    </row>
    <row r="107" spans="1:10" x14ac:dyDescent="0.2">
      <c r="A107">
        <v>5</v>
      </c>
      <c r="B107" t="s">
        <v>36</v>
      </c>
      <c r="C107" t="s">
        <v>40</v>
      </c>
      <c r="D107" t="s">
        <v>38</v>
      </c>
      <c r="E107" t="s">
        <v>13</v>
      </c>
      <c r="F107" t="s">
        <v>3</v>
      </c>
      <c r="G107" s="4">
        <v>15.744218088484336</v>
      </c>
      <c r="H107" s="4">
        <f>Table48[[#This Row],[mM]]*20*N$1</f>
        <v>0.31488436176968676</v>
      </c>
      <c r="I107" s="5">
        <v>76.400000000000006</v>
      </c>
      <c r="J107" s="4">
        <f>Table48[[#This Row],[mmol/g wet feces]]/Table48[[#This Row],[sCOD (mg/g wet feces)]]*1000</f>
        <v>4.1215230598126533</v>
      </c>
    </row>
    <row r="108" spans="1:10" x14ac:dyDescent="0.2">
      <c r="A108">
        <v>6</v>
      </c>
      <c r="B108" t="s">
        <v>36</v>
      </c>
      <c r="C108" t="s">
        <v>37</v>
      </c>
      <c r="D108" t="s">
        <v>38</v>
      </c>
      <c r="E108" t="s">
        <v>18</v>
      </c>
      <c r="F108" t="s">
        <v>6</v>
      </c>
      <c r="G108" s="4">
        <v>9.3038190616998335</v>
      </c>
      <c r="H108" s="4">
        <f>Table48[[#This Row],[mM]]*N$3*N$1</f>
        <v>9.3038190616998334E-2</v>
      </c>
      <c r="I108" s="5">
        <v>67.400000000000006</v>
      </c>
      <c r="J108" s="4">
        <f>Table48[[#This Row],[mmol/g wet feces]]/Table48[[#This Row],[sCOD (mg/g wet feces)]]*1000</f>
        <v>1.3803885848219337</v>
      </c>
    </row>
    <row r="109" spans="1:10" x14ac:dyDescent="0.2">
      <c r="A109">
        <v>6</v>
      </c>
      <c r="B109" t="s">
        <v>36</v>
      </c>
      <c r="C109" t="s">
        <v>37</v>
      </c>
      <c r="D109" t="s">
        <v>38</v>
      </c>
      <c r="E109" t="s">
        <v>18</v>
      </c>
      <c r="F109" t="s">
        <v>0</v>
      </c>
      <c r="G109" s="4">
        <v>15.754291546148911</v>
      </c>
      <c r="H109" s="4">
        <f>Table48[[#This Row],[mM]]*N$3*N$1</f>
        <v>0.15754291546148913</v>
      </c>
      <c r="I109" s="5">
        <v>67.400000000000006</v>
      </c>
      <c r="J109" s="4">
        <f>Table48[[#This Row],[mmol/g wet feces]]/Table48[[#This Row],[sCOD (mg/g wet feces)]]*1000</f>
        <v>2.3374319801407881</v>
      </c>
    </row>
    <row r="110" spans="1:10" x14ac:dyDescent="0.2">
      <c r="A110">
        <v>6</v>
      </c>
      <c r="B110" t="s">
        <v>36</v>
      </c>
      <c r="C110" t="s">
        <v>37</v>
      </c>
      <c r="D110" t="s">
        <v>38</v>
      </c>
      <c r="E110" t="s">
        <v>18</v>
      </c>
      <c r="F110" t="s">
        <v>3</v>
      </c>
      <c r="G110" s="4">
        <v>9.7832132341621119</v>
      </c>
      <c r="H110" s="4">
        <f>Table48[[#This Row],[mM]]*N$3*N$1</f>
        <v>9.7832132341621122E-2</v>
      </c>
      <c r="I110" s="5">
        <v>67.400000000000006</v>
      </c>
      <c r="J110" s="4">
        <f>Table48[[#This Row],[mmol/g wet feces]]/Table48[[#This Row],[sCOD (mg/g wet feces)]]*1000</f>
        <v>1.4515153166412629</v>
      </c>
    </row>
    <row r="111" spans="1:10" x14ac:dyDescent="0.2">
      <c r="A111">
        <v>6</v>
      </c>
      <c r="B111" t="s">
        <v>36</v>
      </c>
      <c r="C111" t="s">
        <v>39</v>
      </c>
      <c r="D111" t="s">
        <v>38</v>
      </c>
      <c r="E111" t="s">
        <v>21</v>
      </c>
      <c r="F111" t="s">
        <v>6</v>
      </c>
      <c r="G111" s="4">
        <v>4.4509412252579121</v>
      </c>
      <c r="H111" s="4">
        <f>Table48[[#This Row],[mM]]*N$3*N$1</f>
        <v>4.4509412252579122E-2</v>
      </c>
      <c r="I111" s="5">
        <v>58.999999999999993</v>
      </c>
      <c r="J111" s="4">
        <f>Table48[[#This Row],[mmol/g wet feces]]/Table48[[#This Row],[sCOD (mg/g wet feces)]]*1000</f>
        <v>0.7543968178403242</v>
      </c>
    </row>
    <row r="112" spans="1:10" x14ac:dyDescent="0.2">
      <c r="A112">
        <v>6</v>
      </c>
      <c r="B112" t="s">
        <v>36</v>
      </c>
      <c r="C112" t="s">
        <v>39</v>
      </c>
      <c r="D112" t="s">
        <v>38</v>
      </c>
      <c r="E112" t="s">
        <v>21</v>
      </c>
      <c r="F112" t="s">
        <v>0</v>
      </c>
      <c r="G112" s="4">
        <v>16.402059294404442</v>
      </c>
      <c r="H112" s="4">
        <f>Table48[[#This Row],[mM]]*N$3*N$1</f>
        <v>0.16402059294404442</v>
      </c>
      <c r="I112" s="5">
        <v>58.999999999999993</v>
      </c>
      <c r="J112" s="4">
        <f>Table48[[#This Row],[mmol/g wet feces]]/Table48[[#This Row],[sCOD (mg/g wet feces)]]*1000</f>
        <v>2.7800100498990581</v>
      </c>
    </row>
    <row r="113" spans="1:10" x14ac:dyDescent="0.2">
      <c r="A113">
        <v>6</v>
      </c>
      <c r="B113" t="s">
        <v>36</v>
      </c>
      <c r="C113" t="s">
        <v>39</v>
      </c>
      <c r="D113" t="s">
        <v>38</v>
      </c>
      <c r="E113" t="s">
        <v>21</v>
      </c>
      <c r="F113" t="s">
        <v>3</v>
      </c>
      <c r="G113" s="4">
        <v>1.7410383781319763</v>
      </c>
      <c r="H113" s="4">
        <f>Table48[[#This Row],[mM]]*N$3*N$1</f>
        <v>1.7410383781319764E-2</v>
      </c>
      <c r="I113" s="5">
        <v>58.999999999999993</v>
      </c>
      <c r="J113" s="4">
        <f>Table48[[#This Row],[mmol/g wet feces]]/Table48[[#This Row],[sCOD (mg/g wet feces)]]*1000</f>
        <v>0.29509125053084351</v>
      </c>
    </row>
    <row r="114" spans="1:10" x14ac:dyDescent="0.2">
      <c r="A114">
        <v>6</v>
      </c>
      <c r="B114" t="s">
        <v>36</v>
      </c>
      <c r="C114" t="s">
        <v>39</v>
      </c>
      <c r="D114" t="s">
        <v>38</v>
      </c>
      <c r="E114" t="s">
        <v>21</v>
      </c>
      <c r="F114" t="s">
        <v>3</v>
      </c>
      <c r="G114" s="4">
        <v>14.231041598510508</v>
      </c>
      <c r="H114" s="4">
        <f>Table48[[#This Row],[mM]]*N$3*N$1</f>
        <v>0.14231041598510508</v>
      </c>
      <c r="I114" s="5">
        <v>58.999999999999993</v>
      </c>
      <c r="J114" s="4">
        <f>Table48[[#This Row],[mmol/g wet feces]]/Table48[[#This Row],[sCOD (mg/g wet feces)]]*1000</f>
        <v>2.4120409489000862</v>
      </c>
    </row>
    <row r="115" spans="1:10" x14ac:dyDescent="0.2">
      <c r="A115">
        <v>6</v>
      </c>
      <c r="B115" t="s">
        <v>36</v>
      </c>
      <c r="C115" t="s">
        <v>40</v>
      </c>
      <c r="D115" t="s">
        <v>38</v>
      </c>
      <c r="E115" t="s">
        <v>17</v>
      </c>
      <c r="F115" t="s">
        <v>6</v>
      </c>
      <c r="G115" s="4">
        <v>4.4874343099573952</v>
      </c>
      <c r="H115" s="4">
        <f>Table48[[#This Row],[mM]]*N$3*N$1</f>
        <v>4.487434309957395E-2</v>
      </c>
      <c r="I115" s="5">
        <v>65</v>
      </c>
      <c r="J115" s="4">
        <f>Table48[[#This Row],[mmol/g wet feces]]/Table48[[#This Row],[sCOD (mg/g wet feces)]]*1000</f>
        <v>0.69037450922421462</v>
      </c>
    </row>
    <row r="116" spans="1:10" x14ac:dyDescent="0.2">
      <c r="A116">
        <v>6</v>
      </c>
      <c r="B116" t="s">
        <v>36</v>
      </c>
      <c r="C116" t="s">
        <v>40</v>
      </c>
      <c r="D116" t="s">
        <v>38</v>
      </c>
      <c r="E116" t="s">
        <v>17</v>
      </c>
      <c r="F116" t="s">
        <v>0</v>
      </c>
      <c r="G116" s="4">
        <v>9.619022985972661</v>
      </c>
      <c r="H116" s="4">
        <f>Table48[[#This Row],[mM]]*N$3*N$1</f>
        <v>9.6190229859726611E-2</v>
      </c>
      <c r="I116" s="5">
        <v>65</v>
      </c>
      <c r="J116" s="4">
        <f>Table48[[#This Row],[mmol/g wet feces]]/Table48[[#This Row],[sCOD (mg/g wet feces)]]*1000</f>
        <v>1.4798496901496403</v>
      </c>
    </row>
    <row r="117" spans="1:10" x14ac:dyDescent="0.2">
      <c r="A117">
        <v>6</v>
      </c>
      <c r="B117" t="s">
        <v>36</v>
      </c>
      <c r="C117" t="s">
        <v>40</v>
      </c>
      <c r="D117" t="s">
        <v>38</v>
      </c>
      <c r="E117" t="s">
        <v>17</v>
      </c>
      <c r="F117" t="s">
        <v>3</v>
      </c>
      <c r="G117" s="4">
        <v>46.585449517935501</v>
      </c>
      <c r="H117" s="4">
        <f>Table48[[#This Row],[mM]]*N$3*N$1</f>
        <v>0.46585449517935501</v>
      </c>
      <c r="I117" s="5">
        <v>65</v>
      </c>
      <c r="J117" s="4">
        <f>Table48[[#This Row],[mmol/g wet feces]]/Table48[[#This Row],[sCOD (mg/g wet feces)]]*1000</f>
        <v>7.1669922335285392</v>
      </c>
    </row>
    <row r="118" spans="1:10" x14ac:dyDescent="0.2">
      <c r="A118">
        <v>7</v>
      </c>
      <c r="B118" t="s">
        <v>36</v>
      </c>
      <c r="C118" t="s">
        <v>37</v>
      </c>
      <c r="D118" t="s">
        <v>38</v>
      </c>
      <c r="E118" t="s">
        <v>14</v>
      </c>
      <c r="F118" t="s">
        <v>6</v>
      </c>
      <c r="G118" s="4">
        <v>6.1398503571864937</v>
      </c>
      <c r="H118" s="4">
        <f>Table48[[#This Row],[mM]]*N$3*N$1</f>
        <v>6.1398503571864937E-2</v>
      </c>
      <c r="I118" s="5">
        <v>61.2</v>
      </c>
      <c r="J118" s="4">
        <f>Table48[[#This Row],[mmol/g wet feces]]/Table48[[#This Row],[sCOD (mg/g wet feces)]]*1000</f>
        <v>1.0032435224160936</v>
      </c>
    </row>
    <row r="119" spans="1:10" x14ac:dyDescent="0.2">
      <c r="A119">
        <v>7</v>
      </c>
      <c r="B119" t="s">
        <v>36</v>
      </c>
      <c r="C119" t="s">
        <v>37</v>
      </c>
      <c r="D119" t="s">
        <v>38</v>
      </c>
      <c r="E119" t="s">
        <v>14</v>
      </c>
      <c r="F119" t="s">
        <v>0</v>
      </c>
      <c r="G119" s="4">
        <v>16.595117264549621</v>
      </c>
      <c r="H119" s="4">
        <f>Table48[[#This Row],[mM]]*N$3*N$1</f>
        <v>0.16595117264549622</v>
      </c>
      <c r="I119" s="5">
        <v>61.2</v>
      </c>
      <c r="J119" s="4">
        <f>Table48[[#This Row],[mmol/g wet feces]]/Table48[[#This Row],[sCOD (mg/g wet feces)]]*1000</f>
        <v>2.7116204680636633</v>
      </c>
    </row>
    <row r="120" spans="1:10" x14ac:dyDescent="0.2">
      <c r="A120">
        <v>7</v>
      </c>
      <c r="B120" t="s">
        <v>36</v>
      </c>
      <c r="C120" t="s">
        <v>37</v>
      </c>
      <c r="D120" t="s">
        <v>38</v>
      </c>
      <c r="E120" t="s">
        <v>14</v>
      </c>
      <c r="F120" t="s">
        <v>3</v>
      </c>
      <c r="G120" s="4">
        <v>13.11632455882919</v>
      </c>
      <c r="H120" s="4">
        <f>Table48[[#This Row],[mM]]*N$3*N$1</f>
        <v>0.1311632455882919</v>
      </c>
      <c r="I120" s="5">
        <v>61.2</v>
      </c>
      <c r="J120" s="4">
        <f>Table48[[#This Row],[mmol/g wet feces]]/Table48[[#This Row],[sCOD (mg/g wet feces)]]*1000</f>
        <v>2.1431902873903903</v>
      </c>
    </row>
    <row r="121" spans="1:10" x14ac:dyDescent="0.2">
      <c r="A121">
        <v>7</v>
      </c>
      <c r="B121" t="s">
        <v>36</v>
      </c>
      <c r="C121" t="s">
        <v>39</v>
      </c>
      <c r="D121" t="s">
        <v>38</v>
      </c>
      <c r="E121" t="s">
        <v>9</v>
      </c>
      <c r="F121" t="s">
        <v>6</v>
      </c>
      <c r="G121" s="4">
        <v>12.728241439211228</v>
      </c>
      <c r="H121" s="4">
        <f>Table48[[#This Row],[mM]]*N$3*N$1</f>
        <v>0.1272824143921123</v>
      </c>
      <c r="I121" s="5">
        <v>69.2</v>
      </c>
      <c r="J121" s="4">
        <f>Table48[[#This Row],[mmol/g wet feces]]/Table48[[#This Row],[sCOD (mg/g wet feces)]]*1000</f>
        <v>1.8393412484409291</v>
      </c>
    </row>
    <row r="122" spans="1:10" x14ac:dyDescent="0.2">
      <c r="A122">
        <v>7</v>
      </c>
      <c r="B122" t="s">
        <v>36</v>
      </c>
      <c r="C122" t="s">
        <v>39</v>
      </c>
      <c r="D122" t="s">
        <v>38</v>
      </c>
      <c r="E122" t="s">
        <v>9</v>
      </c>
      <c r="F122" t="s">
        <v>0</v>
      </c>
      <c r="G122" s="4">
        <v>5.4830180634133274</v>
      </c>
      <c r="H122" s="4">
        <f>Table48[[#This Row],[mM]]*N$3*N$1</f>
        <v>5.4830180634133273E-2</v>
      </c>
      <c r="I122" s="5">
        <v>69.2</v>
      </c>
      <c r="J122" s="4">
        <f>Table48[[#This Row],[mmol/g wet feces]]/Table48[[#This Row],[sCOD (mg/g wet feces)]]*1000</f>
        <v>0.79234365078227276</v>
      </c>
    </row>
    <row r="123" spans="1:10" x14ac:dyDescent="0.2">
      <c r="A123">
        <v>7</v>
      </c>
      <c r="B123" t="s">
        <v>36</v>
      </c>
      <c r="C123" t="s">
        <v>39</v>
      </c>
      <c r="D123" t="s">
        <v>38</v>
      </c>
      <c r="E123" t="s">
        <v>9</v>
      </c>
      <c r="F123" t="s">
        <v>3</v>
      </c>
      <c r="G123" s="4">
        <v>23.893982829458857</v>
      </c>
      <c r="H123" s="4">
        <f>Table48[[#This Row],[mM]]*N$3*N$1</f>
        <v>0.23893982829458857</v>
      </c>
      <c r="I123" s="5">
        <v>69.2</v>
      </c>
      <c r="J123" s="4">
        <f>Table48[[#This Row],[mmol/g wet feces]]/Table48[[#This Row],[sCOD (mg/g wet feces)]]*1000</f>
        <v>3.452887692118332</v>
      </c>
    </row>
    <row r="124" spans="1:10" x14ac:dyDescent="0.2">
      <c r="A124">
        <v>7</v>
      </c>
      <c r="B124" t="s">
        <v>36</v>
      </c>
      <c r="C124" t="s">
        <v>40</v>
      </c>
      <c r="D124" t="s">
        <v>38</v>
      </c>
      <c r="E124" t="s">
        <v>25</v>
      </c>
      <c r="F124" t="s">
        <v>6</v>
      </c>
      <c r="G124" s="4">
        <v>6.1279433106719008</v>
      </c>
      <c r="H124" s="4">
        <f>Table48[[#This Row],[mM]]*N$3*N$1</f>
        <v>6.127943310671901E-2</v>
      </c>
      <c r="I124" s="5">
        <v>61.8</v>
      </c>
      <c r="J124" s="4">
        <f>Table48[[#This Row],[mmol/g wet feces]]/Table48[[#This Row],[sCOD (mg/g wet feces)]]*1000</f>
        <v>0.99157658748736266</v>
      </c>
    </row>
    <row r="125" spans="1:10" x14ac:dyDescent="0.2">
      <c r="A125">
        <v>7</v>
      </c>
      <c r="B125" t="s">
        <v>36</v>
      </c>
      <c r="C125" t="s">
        <v>40</v>
      </c>
      <c r="D125" t="s">
        <v>38</v>
      </c>
      <c r="E125" t="s">
        <v>25</v>
      </c>
      <c r="F125" t="s">
        <v>0</v>
      </c>
      <c r="G125" s="4">
        <v>11.225202042328576</v>
      </c>
      <c r="H125" s="4">
        <f>Table48[[#This Row],[mM]]*N$3*N$1</f>
        <v>0.11225202042328576</v>
      </c>
      <c r="I125" s="5">
        <v>61.8</v>
      </c>
      <c r="J125" s="4">
        <f>Table48[[#This Row],[mmol/g wet feces]]/Table48[[#This Row],[sCOD (mg/g wet feces)]]*1000</f>
        <v>1.8163757350046241</v>
      </c>
    </row>
    <row r="126" spans="1:10" x14ac:dyDescent="0.2">
      <c r="A126">
        <v>7</v>
      </c>
      <c r="B126" t="s">
        <v>36</v>
      </c>
      <c r="C126" t="s">
        <v>40</v>
      </c>
      <c r="D126" t="s">
        <v>38</v>
      </c>
      <c r="E126" t="s">
        <v>25</v>
      </c>
      <c r="F126" t="s">
        <v>3</v>
      </c>
      <c r="G126" s="4">
        <v>15.713281707047187</v>
      </c>
      <c r="H126" s="4">
        <f>Table48[[#This Row],[mM]]*N$3*N$1</f>
        <v>0.15713281707047189</v>
      </c>
      <c r="I126" s="5">
        <v>61.8</v>
      </c>
      <c r="J126" s="4">
        <f>Table48[[#This Row],[mmol/g wet feces]]/Table48[[#This Row],[sCOD (mg/g wet feces)]]*1000</f>
        <v>2.5426022179688008</v>
      </c>
    </row>
    <row r="127" spans="1:10" x14ac:dyDescent="0.2">
      <c r="A127">
        <v>8</v>
      </c>
      <c r="B127" t="s">
        <v>36</v>
      </c>
      <c r="C127" t="s">
        <v>37</v>
      </c>
      <c r="D127" t="s">
        <v>38</v>
      </c>
      <c r="E127" t="s">
        <v>10</v>
      </c>
      <c r="F127" t="s">
        <v>6</v>
      </c>
      <c r="G127" s="4">
        <v>1.6842227348556009</v>
      </c>
      <c r="H127" s="4">
        <f>Table48[[#This Row],[mM]]*N$3*N$1</f>
        <v>1.6842227348556008E-2</v>
      </c>
      <c r="I127" s="5">
        <v>51.2</v>
      </c>
      <c r="J127" s="4">
        <f>Table48[[#This Row],[mmol/g wet feces]]/Table48[[#This Row],[sCOD (mg/g wet feces)]]*1000</f>
        <v>0.32894975290148454</v>
      </c>
    </row>
    <row r="128" spans="1:10" x14ac:dyDescent="0.2">
      <c r="A128">
        <v>8</v>
      </c>
      <c r="B128" t="s">
        <v>36</v>
      </c>
      <c r="C128" t="s">
        <v>37</v>
      </c>
      <c r="D128" t="s">
        <v>38</v>
      </c>
      <c r="E128" t="s">
        <v>10</v>
      </c>
      <c r="F128" t="s">
        <v>0</v>
      </c>
      <c r="G128" s="4">
        <v>27.164520993287237</v>
      </c>
      <c r="H128" s="4">
        <f>Table48[[#This Row],[mM]]*N$3*N$1</f>
        <v>0.27164520993287239</v>
      </c>
      <c r="I128" s="5">
        <v>51.2</v>
      </c>
      <c r="J128" s="4">
        <f>Table48[[#This Row],[mmol/g wet feces]]/Table48[[#This Row],[sCOD (mg/g wet feces)]]*1000</f>
        <v>5.3055705065014136</v>
      </c>
    </row>
    <row r="129" spans="1:10" x14ac:dyDescent="0.2">
      <c r="A129">
        <v>8</v>
      </c>
      <c r="B129" t="s">
        <v>36</v>
      </c>
      <c r="C129" t="s">
        <v>37</v>
      </c>
      <c r="D129" t="s">
        <v>38</v>
      </c>
      <c r="E129" t="s">
        <v>10</v>
      </c>
      <c r="F129" t="s">
        <v>3</v>
      </c>
      <c r="G129" s="4">
        <v>8.4770768645119698</v>
      </c>
      <c r="H129" s="4">
        <f>Table48[[#This Row],[mM]]*N$3*N$1</f>
        <v>8.4770768645119704E-2</v>
      </c>
      <c r="I129" s="5">
        <v>51.2</v>
      </c>
      <c r="J129" s="4">
        <f>Table48[[#This Row],[mmol/g wet feces]]/Table48[[#This Row],[sCOD (mg/g wet feces)]]*1000</f>
        <v>1.6556790750999941</v>
      </c>
    </row>
    <row r="130" spans="1:10" x14ac:dyDescent="0.2">
      <c r="A130">
        <v>8</v>
      </c>
      <c r="B130" t="s">
        <v>36</v>
      </c>
      <c r="C130" t="s">
        <v>39</v>
      </c>
      <c r="D130" t="s">
        <v>38</v>
      </c>
      <c r="E130" t="s">
        <v>8</v>
      </c>
      <c r="F130" t="s">
        <v>6</v>
      </c>
      <c r="G130" s="4">
        <v>5.0563371384972529</v>
      </c>
      <c r="H130" s="4">
        <f>Table48[[#This Row],[mM]]*N$3*N$1</f>
        <v>5.0563371384972529E-2</v>
      </c>
      <c r="I130" s="5">
        <v>63.4</v>
      </c>
      <c r="J130" s="4">
        <f>Table48[[#This Row],[mmol/g wet feces]]/Table48[[#This Row],[sCOD (mg/g wet feces)]]*1000</f>
        <v>0.79752951711313136</v>
      </c>
    </row>
    <row r="131" spans="1:10" x14ac:dyDescent="0.2">
      <c r="A131">
        <v>8</v>
      </c>
      <c r="B131" t="s">
        <v>36</v>
      </c>
      <c r="C131" t="s">
        <v>39</v>
      </c>
      <c r="D131" t="s">
        <v>38</v>
      </c>
      <c r="E131" t="s">
        <v>8</v>
      </c>
      <c r="F131" t="s">
        <v>0</v>
      </c>
      <c r="G131" s="4">
        <v>20.285773316374684</v>
      </c>
      <c r="H131" s="4">
        <f>Table48[[#This Row],[mM]]*N$3*N$1</f>
        <v>0.20285773316374683</v>
      </c>
      <c r="I131" s="5">
        <v>63.4</v>
      </c>
      <c r="J131" s="4">
        <f>Table48[[#This Row],[mmol/g wet feces]]/Table48[[#This Row],[sCOD (mg/g wet feces)]]*1000</f>
        <v>3.1996487880717166</v>
      </c>
    </row>
    <row r="132" spans="1:10" x14ac:dyDescent="0.2">
      <c r="A132">
        <v>8</v>
      </c>
      <c r="B132" t="s">
        <v>36</v>
      </c>
      <c r="C132" t="s">
        <v>39</v>
      </c>
      <c r="D132" t="s">
        <v>38</v>
      </c>
      <c r="E132" t="s">
        <v>8</v>
      </c>
      <c r="F132" t="s">
        <v>3</v>
      </c>
      <c r="G132" s="4">
        <v>5.1777697420329458</v>
      </c>
      <c r="H132" s="4">
        <f>Table48[[#This Row],[mM]]*N$3*N$1</f>
        <v>5.1777697420329463E-2</v>
      </c>
      <c r="I132" s="5">
        <v>63.4</v>
      </c>
      <c r="J132" s="4">
        <f>Table48[[#This Row],[mmol/g wet feces]]/Table48[[#This Row],[sCOD (mg/g wet feces)]]*1000</f>
        <v>0.81668292461087488</v>
      </c>
    </row>
    <row r="133" spans="1:10" x14ac:dyDescent="0.2">
      <c r="A133">
        <v>8</v>
      </c>
      <c r="B133" t="s">
        <v>36</v>
      </c>
      <c r="C133" t="s">
        <v>40</v>
      </c>
      <c r="D133" t="s">
        <v>38</v>
      </c>
      <c r="E133" t="s">
        <v>24</v>
      </c>
      <c r="F133" t="s">
        <v>6</v>
      </c>
      <c r="G133" s="4">
        <v>12.712039928987686</v>
      </c>
      <c r="H133" s="4">
        <f>Table48[[#This Row],[mM]]*N$3*N$1</f>
        <v>0.12712039928987687</v>
      </c>
      <c r="I133" s="5">
        <v>81.599999999999994</v>
      </c>
      <c r="J133" s="4">
        <f>Table48[[#This Row],[mmol/g wet feces]]/Table48[[#This Row],[sCOD (mg/g wet feces)]]*1000</f>
        <v>1.557848030513197</v>
      </c>
    </row>
    <row r="134" spans="1:10" x14ac:dyDescent="0.2">
      <c r="A134">
        <v>8</v>
      </c>
      <c r="B134" t="s">
        <v>36</v>
      </c>
      <c r="C134" t="s">
        <v>40</v>
      </c>
      <c r="D134" t="s">
        <v>38</v>
      </c>
      <c r="E134" t="s">
        <v>24</v>
      </c>
      <c r="F134" t="s">
        <v>0</v>
      </c>
      <c r="G134" s="4">
        <v>19.444669018033256</v>
      </c>
      <c r="H134" s="4">
        <f>Table48[[#This Row],[mM]]*N$3*N$1</f>
        <v>0.19444669018033256</v>
      </c>
      <c r="I134" s="5">
        <v>81.599999999999994</v>
      </c>
      <c r="J134" s="4">
        <f>Table48[[#This Row],[mmol/g wet feces]]/Table48[[#This Row],[sCOD (mg/g wet feces)]]*1000</f>
        <v>2.3829251247589776</v>
      </c>
    </row>
    <row r="135" spans="1:10" x14ac:dyDescent="0.2">
      <c r="A135">
        <v>8</v>
      </c>
      <c r="B135" t="s">
        <v>36</v>
      </c>
      <c r="C135" t="s">
        <v>40</v>
      </c>
      <c r="D135" t="s">
        <v>38</v>
      </c>
      <c r="E135" t="s">
        <v>24</v>
      </c>
      <c r="F135" t="s">
        <v>3</v>
      </c>
      <c r="G135" s="4">
        <v>20.946076586675392</v>
      </c>
      <c r="H135" s="4">
        <f>Table48[[#This Row],[mM]]*N$3*N$1</f>
        <v>0.20946076586675391</v>
      </c>
      <c r="I135" s="5">
        <v>81.599999999999994</v>
      </c>
      <c r="J135" s="4">
        <f>Table48[[#This Row],[mmol/g wet feces]]/Table48[[#This Row],[sCOD (mg/g wet feces)]]*1000</f>
        <v>2.5669211503278668</v>
      </c>
    </row>
    <row r="136" spans="1:10" x14ac:dyDescent="0.2">
      <c r="A136">
        <v>8</v>
      </c>
      <c r="B136" t="s">
        <v>36</v>
      </c>
      <c r="C136" t="s">
        <v>40</v>
      </c>
      <c r="D136" t="s">
        <v>38</v>
      </c>
      <c r="E136" t="s">
        <v>24</v>
      </c>
      <c r="F136" t="s">
        <v>2</v>
      </c>
      <c r="G136" s="4" t="s">
        <v>49</v>
      </c>
      <c r="I136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Definitions</vt:lpstr>
      <vt:lpstr>Normalized Data</vt:lpstr>
    </vt:vector>
  </TitlesOfParts>
  <Company>Arizona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Dirks (Student)</dc:creator>
  <cp:lastModifiedBy>Moiseyenko, Anastasiya (Ana)</cp:lastModifiedBy>
  <dcterms:created xsi:type="dcterms:W3CDTF">2025-06-25T16:52:12Z</dcterms:created>
  <dcterms:modified xsi:type="dcterms:W3CDTF">2025-08-22T20:33:38Z</dcterms:modified>
</cp:coreProperties>
</file>