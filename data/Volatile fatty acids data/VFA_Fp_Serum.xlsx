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Volatile fatty acids data/"/>
    </mc:Choice>
  </mc:AlternateContent>
  <xr:revisionPtr revIDLastSave="37" documentId="13_ncr:1_{26E6420C-717E-4EA1-849E-2E8F45636324}" xr6:coauthVersionLast="47" xr6:coauthVersionMax="47" xr10:uidLastSave="{2DB352E6-D5E2-9B49-860C-A567DEAB303F}"/>
  <bookViews>
    <workbookView xWindow="0" yWindow="500" windowWidth="28800" windowHeight="17500" xr2:uid="{194E912A-0704-4EA0-840A-30CF8828BB75}"/>
  </bookViews>
  <sheets>
    <sheet name="Processed 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J56" i="5" s="1"/>
  <c r="K56" i="5" s="1"/>
  <c r="J47" i="5" l="1"/>
  <c r="K47" i="5" s="1"/>
  <c r="J28" i="5"/>
  <c r="K28" i="5" s="1"/>
  <c r="J26" i="5"/>
  <c r="K26" i="5" s="1"/>
  <c r="J24" i="5"/>
  <c r="K24" i="5" s="1"/>
  <c r="J60" i="5"/>
  <c r="K60" i="5" s="1"/>
  <c r="J18" i="5"/>
  <c r="K18" i="5" s="1"/>
  <c r="J33" i="5"/>
  <c r="K33" i="5" s="1"/>
  <c r="J9" i="5"/>
  <c r="K9" i="5" s="1"/>
  <c r="J31" i="5"/>
  <c r="K31" i="5" s="1"/>
  <c r="J13" i="5"/>
  <c r="K13" i="5" s="1"/>
  <c r="J12" i="5"/>
  <c r="K12" i="5" s="1"/>
  <c r="J21" i="5"/>
  <c r="K21" i="5" s="1"/>
  <c r="J35" i="5"/>
  <c r="K35" i="5" s="1"/>
  <c r="J52" i="5"/>
  <c r="K52" i="5" s="1"/>
  <c r="J22" i="5"/>
  <c r="K22" i="5" s="1"/>
  <c r="J38" i="5"/>
  <c r="K38" i="5" s="1"/>
  <c r="J48" i="5"/>
  <c r="K48" i="5" s="1"/>
  <c r="J2" i="5"/>
  <c r="K2" i="5" s="1"/>
  <c r="J58" i="5"/>
  <c r="K58" i="5" s="1"/>
  <c r="J30" i="5"/>
  <c r="K30" i="5" s="1"/>
  <c r="J32" i="5"/>
  <c r="K32" i="5" s="1"/>
  <c r="J49" i="5"/>
  <c r="K49" i="5" s="1"/>
  <c r="J50" i="5"/>
  <c r="K50" i="5" s="1"/>
  <c r="J53" i="5"/>
  <c r="K53" i="5" s="1"/>
  <c r="J41" i="5"/>
  <c r="K41" i="5" s="1"/>
  <c r="J45" i="5"/>
  <c r="K45" i="5" s="1"/>
  <c r="J17" i="5"/>
  <c r="K17" i="5" s="1"/>
  <c r="J61" i="5"/>
  <c r="K61" i="5" s="1"/>
  <c r="J23" i="5"/>
  <c r="K23" i="5" s="1"/>
  <c r="J40" i="5"/>
  <c r="K40" i="5" s="1"/>
  <c r="J46" i="5"/>
  <c r="K46" i="5" s="1"/>
  <c r="J4" i="5"/>
  <c r="K4" i="5" s="1"/>
  <c r="J7" i="5"/>
  <c r="K7" i="5" s="1"/>
  <c r="J20" i="5"/>
  <c r="K20" i="5" s="1"/>
  <c r="J15" i="5"/>
  <c r="K15" i="5" s="1"/>
  <c r="J27" i="5"/>
  <c r="K27" i="5" s="1"/>
  <c r="J39" i="5"/>
  <c r="K39" i="5" s="1"/>
  <c r="J44" i="5"/>
  <c r="K44" i="5" s="1"/>
  <c r="J55" i="5"/>
  <c r="K55" i="5" s="1"/>
  <c r="J57" i="5"/>
  <c r="K57" i="5" s="1"/>
  <c r="J25" i="5"/>
  <c r="K25" i="5" s="1"/>
  <c r="J42" i="5"/>
  <c r="K42" i="5" s="1"/>
  <c r="J34" i="5"/>
  <c r="K34" i="5" s="1"/>
  <c r="J5" i="5"/>
  <c r="K5" i="5" s="1"/>
  <c r="J14" i="5"/>
  <c r="K14" i="5" s="1"/>
  <c r="J54" i="5"/>
  <c r="K54" i="5" s="1"/>
  <c r="J36" i="5"/>
  <c r="K36" i="5" s="1"/>
  <c r="J16" i="5"/>
  <c r="K16" i="5" s="1"/>
  <c r="J43" i="5"/>
  <c r="K43" i="5" s="1"/>
  <c r="J29" i="5"/>
  <c r="K29" i="5" s="1"/>
  <c r="J6" i="5"/>
  <c r="K6" i="5" s="1"/>
  <c r="J10" i="5"/>
  <c r="K10" i="5" s="1"/>
  <c r="J11" i="5"/>
  <c r="K11" i="5" s="1"/>
  <c r="J59" i="5"/>
  <c r="K59" i="5" s="1"/>
  <c r="J37" i="5"/>
  <c r="K37" i="5" s="1"/>
  <c r="J8" i="5"/>
  <c r="K8" i="5" s="1"/>
  <c r="J51" i="5"/>
  <c r="K51" i="5" s="1"/>
  <c r="J3" i="5"/>
  <c r="K3" i="5" s="1"/>
  <c r="J19" i="5"/>
  <c r="K19" i="5" s="1"/>
  <c r="H34" i="5"/>
  <c r="H39" i="5"/>
  <c r="H38" i="5"/>
  <c r="H24" i="5"/>
  <c r="H35" i="5"/>
  <c r="H37" i="5"/>
  <c r="H29" i="5"/>
  <c r="H42" i="5"/>
  <c r="H36" i="5"/>
  <c r="H32" i="5"/>
  <c r="H26" i="5"/>
  <c r="H31" i="5"/>
  <c r="H33" i="5"/>
  <c r="H43" i="5"/>
  <c r="H25" i="5"/>
  <c r="H27" i="5"/>
  <c r="H40" i="5"/>
  <c r="H41" i="5"/>
  <c r="H30" i="5"/>
  <c r="H28" i="5"/>
  <c r="H50" i="5"/>
  <c r="H2" i="5"/>
  <c r="H3" i="5"/>
  <c r="H11" i="5"/>
  <c r="H5" i="5"/>
  <c r="H7" i="5"/>
  <c r="H48" i="5"/>
  <c r="H47" i="5"/>
  <c r="H52" i="5"/>
  <c r="H12" i="5"/>
  <c r="H51" i="5"/>
  <c r="H10" i="5"/>
  <c r="H44" i="5"/>
  <c r="H4" i="5"/>
  <c r="H49" i="5"/>
  <c r="H9" i="5"/>
  <c r="H8" i="5"/>
  <c r="H6" i="5"/>
  <c r="H46" i="5"/>
  <c r="H45" i="5"/>
  <c r="H23" i="5"/>
  <c r="H21" i="5"/>
  <c r="H13" i="5"/>
  <c r="H18" i="5"/>
  <c r="H60" i="5"/>
  <c r="H56" i="5"/>
  <c r="H59" i="5"/>
  <c r="H54" i="5"/>
  <c r="H55" i="5"/>
  <c r="H15" i="5"/>
  <c r="H61" i="5"/>
  <c r="H22" i="5"/>
  <c r="H19" i="5"/>
  <c r="H14" i="5"/>
  <c r="H16" i="5"/>
  <c r="H20" i="5"/>
  <c r="H17" i="5"/>
  <c r="H53" i="5"/>
  <c r="H58" i="5"/>
  <c r="H57" i="5"/>
  <c r="L27" i="5" l="1"/>
  <c r="L43" i="5"/>
  <c r="L12" i="5"/>
  <c r="L38" i="5"/>
  <c r="L56" i="5"/>
  <c r="L60" i="5"/>
  <c r="L47" i="5"/>
  <c r="L2" i="5"/>
  <c r="L57" i="5"/>
  <c r="L37" i="5"/>
  <c r="L59" i="5"/>
  <c r="L9" i="5"/>
  <c r="L19" i="5"/>
  <c r="L52" i="5"/>
  <c r="L28" i="5"/>
  <c r="L48" i="5"/>
  <c r="L50" i="5"/>
  <c r="L30" i="5"/>
  <c r="L32" i="5"/>
  <c r="L42" i="5"/>
  <c r="L26" i="5"/>
  <c r="L22" i="5"/>
  <c r="L18" i="5"/>
  <c r="L41" i="5"/>
  <c r="L39" i="5"/>
  <c r="L61" i="5"/>
  <c r="L49" i="5"/>
  <c r="L7" i="5"/>
  <c r="L40" i="5"/>
  <c r="L36" i="5"/>
  <c r="L34" i="5"/>
  <c r="L58" i="5"/>
  <c r="L4" i="5"/>
  <c r="L53" i="5"/>
  <c r="L13" i="5"/>
  <c r="L46" i="5"/>
  <c r="L44" i="5"/>
  <c r="L5" i="5"/>
  <c r="L25" i="5"/>
  <c r="L29" i="5"/>
  <c r="L45" i="5"/>
  <c r="L17" i="5"/>
  <c r="L21" i="5"/>
  <c r="L11" i="5"/>
  <c r="L20" i="5"/>
  <c r="L15" i="5"/>
  <c r="L10" i="5"/>
  <c r="L3" i="5"/>
  <c r="L16" i="5"/>
  <c r="L55" i="5"/>
  <c r="L23" i="5"/>
  <c r="L6" i="5"/>
  <c r="L51" i="5"/>
  <c r="L33" i="5"/>
  <c r="L35" i="5"/>
  <c r="L14" i="5"/>
  <c r="L54" i="5"/>
  <c r="L8" i="5"/>
  <c r="L31" i="5"/>
  <c r="L24" i="5"/>
</calcChain>
</file>

<file path=xl/sharedStrings.xml><?xml version="1.0" encoding="utf-8"?>
<sst xmlns="http://schemas.openxmlformats.org/spreadsheetml/2006/main" count="327" uniqueCount="51">
  <si>
    <t>VFA</t>
  </si>
  <si>
    <t>Formate</t>
  </si>
  <si>
    <t>Acetate</t>
  </si>
  <si>
    <t>Isobutyrate</t>
  </si>
  <si>
    <t>1AaS</t>
  </si>
  <si>
    <t>1AbS</t>
  </si>
  <si>
    <t>1AcS</t>
  </si>
  <si>
    <t>2AaS</t>
  </si>
  <si>
    <t>2AbS</t>
  </si>
  <si>
    <t>2AcS</t>
  </si>
  <si>
    <t>3AbS</t>
  </si>
  <si>
    <t>3AcS</t>
  </si>
  <si>
    <t>4AaS</t>
  </si>
  <si>
    <t>4AbS</t>
  </si>
  <si>
    <t>4AcS</t>
  </si>
  <si>
    <t>5AaS</t>
  </si>
  <si>
    <t>5AbS</t>
  </si>
  <si>
    <t>5AcS</t>
  </si>
  <si>
    <t>6AbS</t>
  </si>
  <si>
    <t>6AcS</t>
  </si>
  <si>
    <t>7AbS</t>
  </si>
  <si>
    <t>7AcS</t>
  </si>
  <si>
    <t>8AcS</t>
  </si>
  <si>
    <t>9AcS</t>
  </si>
  <si>
    <t>Sample</t>
  </si>
  <si>
    <t>mM</t>
  </si>
  <si>
    <t>Conversion</t>
  </si>
  <si>
    <t>1 L/1000 mL</t>
  </si>
  <si>
    <t>1 Mol/ 1000 mMol</t>
  </si>
  <si>
    <t xml:space="preserve">Initial Dilution </t>
  </si>
  <si>
    <t>sCOD Dilution</t>
  </si>
  <si>
    <t>2:1 dilution</t>
  </si>
  <si>
    <t>sCOD (mg/L)</t>
  </si>
  <si>
    <t>sCOD (mg/L, accouting for dilution)</t>
  </si>
  <si>
    <t>Normalized VFA (nM/sCOD mg)</t>
  </si>
  <si>
    <t>sCOD (mg/mL Serum)</t>
  </si>
  <si>
    <t>nmol/mL serum</t>
  </si>
  <si>
    <t>2000 uL/25 uL</t>
  </si>
  <si>
    <t>A</t>
  </si>
  <si>
    <t>a</t>
  </si>
  <si>
    <t>S</t>
  </si>
  <si>
    <t>b</t>
  </si>
  <si>
    <t>c</t>
  </si>
  <si>
    <t>Key</t>
  </si>
  <si>
    <t>WT</t>
  </si>
  <si>
    <t>ASO-Cntrl</t>
  </si>
  <si>
    <t>ASO-Fp</t>
  </si>
  <si>
    <t>Experimental Group</t>
  </si>
  <si>
    <t>Group w/in Experiment</t>
  </si>
  <si>
    <t>Sample Type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</si>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</sst>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20" fontId="0" fillId="0" borderId="1" xfId="0" applyNumberFormat="1" applyBorder="1"/>
    <xf numFmtId="0" fontId="3" fillId="0" borderId="0" xfId="0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243A72-643E-4199-9E1B-77DF00CED161}" name="Table6" displayName="Table6" ref="A1:L61" totalsRowShown="0" headerRowDxfId="4">
  <autoFilter ref="A1:L61" xr:uid="{20243A72-643E-4199-9E1B-77DF00CED161}"/>
  <sortState xmlns:xlrd2="http://schemas.microsoft.com/office/spreadsheetml/2017/richdata2" ref="A2:L61">
    <sortCondition ref="B1:B61"/>
  </sortState>
  <tableColumns count="12">
    <tableColumn id="1" xr3:uid="{B45E7889-B331-4664-9435-33585DAD7437}" name="Sample Name"/>
    <tableColumn id="3" xr3:uid="{DD9BFD37-28EA-49D9-AD4D-77BE6C66D55A}" name="Experimental Group"/>
    <tableColumn id="4" xr3:uid="{7A206CD6-A905-4064-94A0-4B364D55F4B6}" name="Group w/in Experiment"/>
    <tableColumn id="11" xr3:uid="{F83462D2-02FC-49CD-9BD9-6355A171680A}" name="Sample Type"/>
    <tableColumn id="12" xr3:uid="{7B78A3F1-D1CE-4BA8-BF13-98E2EE6C7AFC}" name="Sample"/>
    <tableColumn id="2" xr3:uid="{3C353323-DA8F-43AD-A99A-816D8B9120CA}" name="VFA"/>
    <tableColumn id="5" xr3:uid="{79AAE448-6BA6-4450-94F7-ED2DFA816325}" name="mM" dataDxfId="3"/>
    <tableColumn id="6" xr3:uid="{DDDD203C-A848-4D33-9912-F20F0415E895}" name="nmol/mL serum" dataDxfId="2">
      <calculatedColumnFormula>Table6[[#This Row],[mM]]*Q$1*Q$3*1000</calculatedColumnFormula>
    </tableColumn>
    <tableColumn id="7" xr3:uid="{7B4D4D60-5749-48EA-B820-C4338E83400E}" name="sCOD (mg/L)"/>
    <tableColumn id="8" xr3:uid="{7B3D81F4-A6B7-413B-B6AA-100A20207974}" name="sCOD (mg/L, accouting for dilution)">
      <calculatedColumnFormula>Table6[[#This Row],[sCOD (mg/L)]]*Q$4</calculatedColumnFormula>
    </tableColumn>
    <tableColumn id="9" xr3:uid="{B020CB49-9C46-4152-BFED-82AE3EB6E245}" name="sCOD (mg/mL Serum)" dataDxfId="1">
      <calculatedColumnFormula>Table6[[#This Row],[sCOD (mg/L, accouting for dilution)]]*Q$1*Q$3</calculatedColumnFormula>
    </tableColumn>
    <tableColumn id="10" xr3:uid="{DCCD6C73-5892-4511-A3BD-D87C28215BD0}" name="Normalized VFA (nM/sCOD mg)" dataDxfId="0">
      <calculatedColumnFormula>(Table6[[#This Row],[mM]]/Table6[[#This Row],[sCOD (mg/L, accouting for dilution)]])*1000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47D2-498B-47E1-9D29-8201AEF78740}">
  <dimension ref="A1:Q61"/>
  <sheetViews>
    <sheetView tabSelected="1" zoomScale="120" zoomScaleNormal="120" workbookViewId="0">
      <selection activeCell="D9" sqref="D9"/>
    </sheetView>
  </sheetViews>
  <sheetFormatPr baseColWidth="10" defaultColWidth="8.83203125" defaultRowHeight="15" x14ac:dyDescent="0.2"/>
  <cols>
    <col min="1" max="5" width="9.6640625" customWidth="1"/>
    <col min="7" max="7" width="9.1640625" style="5"/>
    <col min="8" max="8" width="18" style="5" bestFit="1" customWidth="1"/>
    <col min="9" max="9" width="14.33203125" bestFit="1" customWidth="1"/>
    <col min="10" max="10" width="34.83203125" bestFit="1" customWidth="1"/>
    <col min="11" max="11" width="22.5" style="5" bestFit="1" customWidth="1"/>
    <col min="12" max="12" width="31.6640625" style="5" bestFit="1" customWidth="1"/>
    <col min="15" max="15" width="14.33203125" bestFit="1" customWidth="1"/>
    <col min="16" max="16" width="22" bestFit="1" customWidth="1"/>
    <col min="17" max="17" width="6" bestFit="1" customWidth="1"/>
  </cols>
  <sheetData>
    <row r="1" spans="1:17" x14ac:dyDescent="0.2">
      <c r="A1" t="s">
        <v>50</v>
      </c>
      <c r="B1" s="6" t="s">
        <v>47</v>
      </c>
      <c r="C1" s="6" t="s">
        <v>48</v>
      </c>
      <c r="D1" s="6" t="s">
        <v>49</v>
      </c>
      <c r="E1" t="s">
        <v>24</v>
      </c>
      <c r="F1" t="s">
        <v>0</v>
      </c>
      <c r="G1" s="5" t="s">
        <v>25</v>
      </c>
      <c r="H1" s="5" t="s">
        <v>36</v>
      </c>
      <c r="I1" t="s">
        <v>32</v>
      </c>
      <c r="J1" t="s">
        <v>33</v>
      </c>
      <c r="K1" s="5" t="s">
        <v>35</v>
      </c>
      <c r="L1" s="5" t="s">
        <v>34</v>
      </c>
      <c r="O1" s="1" t="s">
        <v>26</v>
      </c>
      <c r="P1" s="2" t="s">
        <v>27</v>
      </c>
      <c r="Q1" s="2">
        <v>1E-3</v>
      </c>
    </row>
    <row r="2" spans="1:17" x14ac:dyDescent="0.2">
      <c r="A2">
        <v>1</v>
      </c>
      <c r="B2" t="s">
        <v>38</v>
      </c>
      <c r="C2" t="s">
        <v>39</v>
      </c>
      <c r="D2" t="s">
        <v>40</v>
      </c>
      <c r="E2" t="s">
        <v>4</v>
      </c>
      <c r="F2" t="s">
        <v>2</v>
      </c>
      <c r="G2" s="5">
        <v>16.301775944749465</v>
      </c>
      <c r="H2" s="5">
        <f>Table6[[#This Row],[mM]]*Q$1*Q$3*1000</f>
        <v>32.603551889498931</v>
      </c>
      <c r="I2" s="4">
        <v>593</v>
      </c>
      <c r="J2">
        <f>Table6[[#This Row],[sCOD (mg/L)]]*Q$4</f>
        <v>47440</v>
      </c>
      <c r="K2" s="5">
        <f>Table6[[#This Row],[sCOD (mg/L, accouting for dilution)]]*Q$1*Q$3</f>
        <v>94.88</v>
      </c>
      <c r="L2" s="5">
        <f>(Table6[[#This Row],[mM]]/Table6[[#This Row],[sCOD (mg/L, accouting for dilution)]])*1000</f>
        <v>0.34362934116250982</v>
      </c>
      <c r="O2" s="1" t="s">
        <v>26</v>
      </c>
      <c r="P2" s="2" t="s">
        <v>28</v>
      </c>
      <c r="Q2" s="2">
        <v>1E-3</v>
      </c>
    </row>
    <row r="3" spans="1:17" x14ac:dyDescent="0.2">
      <c r="A3">
        <v>2</v>
      </c>
      <c r="B3" t="s">
        <v>38</v>
      </c>
      <c r="C3" t="s">
        <v>39</v>
      </c>
      <c r="D3" t="s">
        <v>40</v>
      </c>
      <c r="E3" t="s">
        <v>7</v>
      </c>
      <c r="F3" t="s">
        <v>2</v>
      </c>
      <c r="G3" s="5">
        <v>8.734459378092188</v>
      </c>
      <c r="H3" s="5">
        <f>Table6[[#This Row],[mM]]*Q$1*Q$3*1000</f>
        <v>17.468918756184376</v>
      </c>
      <c r="I3" s="4">
        <v>587</v>
      </c>
      <c r="J3">
        <f>Table6[[#This Row],[sCOD (mg/L)]]*Q$4</f>
        <v>46960</v>
      </c>
      <c r="K3" s="5">
        <f>Table6[[#This Row],[sCOD (mg/L, accouting for dilution)]]*Q$1*Q$3</f>
        <v>93.92</v>
      </c>
      <c r="L3" s="5">
        <f>(Table6[[#This Row],[mM]]/Table6[[#This Row],[sCOD (mg/L, accouting for dilution)]])*1000</f>
        <v>0.18599785728475698</v>
      </c>
      <c r="O3" s="1" t="s">
        <v>29</v>
      </c>
      <c r="P3" s="3" t="s">
        <v>31</v>
      </c>
      <c r="Q3" s="2">
        <v>2</v>
      </c>
    </row>
    <row r="4" spans="1:17" x14ac:dyDescent="0.2">
      <c r="A4">
        <v>4</v>
      </c>
      <c r="B4" t="s">
        <v>38</v>
      </c>
      <c r="C4" t="s">
        <v>39</v>
      </c>
      <c r="D4" t="s">
        <v>40</v>
      </c>
      <c r="E4" t="s">
        <v>12</v>
      </c>
      <c r="F4" t="s">
        <v>2</v>
      </c>
      <c r="G4" s="5">
        <v>7.3002664092133465</v>
      </c>
      <c r="H4" s="5">
        <f>Table6[[#This Row],[mM]]*Q$1*Q$3*1000</f>
        <v>14.600532818426695</v>
      </c>
      <c r="I4" s="4">
        <v>590</v>
      </c>
      <c r="J4">
        <f>Table6[[#This Row],[sCOD (mg/L)]]*Q$4</f>
        <v>47200</v>
      </c>
      <c r="K4" s="5">
        <f>Table6[[#This Row],[sCOD (mg/L, accouting for dilution)]]*Q$1*Q$3</f>
        <v>94.4</v>
      </c>
      <c r="L4" s="5">
        <f>(Table6[[#This Row],[mM]]/Table6[[#This Row],[sCOD (mg/L, accouting for dilution)]])*1000</f>
        <v>0.15466666121214717</v>
      </c>
      <c r="O4" s="1" t="s">
        <v>30</v>
      </c>
      <c r="P4" s="3" t="s">
        <v>37</v>
      </c>
      <c r="Q4" s="2">
        <f>2000/25</f>
        <v>80</v>
      </c>
    </row>
    <row r="5" spans="1:17" x14ac:dyDescent="0.2">
      <c r="A5">
        <v>5</v>
      </c>
      <c r="B5" t="s">
        <v>38</v>
      </c>
      <c r="C5" t="s">
        <v>39</v>
      </c>
      <c r="D5" t="s">
        <v>40</v>
      </c>
      <c r="E5" t="s">
        <v>15</v>
      </c>
      <c r="F5" t="s">
        <v>2</v>
      </c>
      <c r="G5" s="5">
        <v>12.443170341360426</v>
      </c>
      <c r="H5" s="5">
        <f>Table6[[#This Row],[mM]]*Q$1*Q$3*1000</f>
        <v>24.886340682720853</v>
      </c>
      <c r="I5" s="4">
        <v>602</v>
      </c>
      <c r="J5">
        <f>Table6[[#This Row],[sCOD (mg/L)]]*Q$4</f>
        <v>48160</v>
      </c>
      <c r="K5" s="5">
        <f>Table6[[#This Row],[sCOD (mg/L, accouting for dilution)]]*Q$1*Q$3</f>
        <v>96.320000000000007</v>
      </c>
      <c r="L5" s="5">
        <f>(Table6[[#This Row],[mM]]/Table6[[#This Row],[sCOD (mg/L, accouting for dilution)]])*1000</f>
        <v>0.25837147718771653</v>
      </c>
    </row>
    <row r="6" spans="1:17" x14ac:dyDescent="0.2">
      <c r="A6">
        <v>1</v>
      </c>
      <c r="B6" t="s">
        <v>38</v>
      </c>
      <c r="C6" t="s">
        <v>41</v>
      </c>
      <c r="D6" t="s">
        <v>40</v>
      </c>
      <c r="E6" t="s">
        <v>5</v>
      </c>
      <c r="F6" t="s">
        <v>2</v>
      </c>
      <c r="G6" s="5">
        <v>9.3783646746674183</v>
      </c>
      <c r="H6" s="5">
        <f>Table6[[#This Row],[mM]]*Q$1*Q$3*1000</f>
        <v>18.75672934933484</v>
      </c>
      <c r="I6" s="4">
        <v>623</v>
      </c>
      <c r="J6">
        <f>Table6[[#This Row],[sCOD (mg/L)]]*Q$4</f>
        <v>49840</v>
      </c>
      <c r="K6" s="5">
        <f>Table6[[#This Row],[sCOD (mg/L, accouting for dilution)]]*Q$1*Q$3</f>
        <v>99.68</v>
      </c>
      <c r="L6" s="5">
        <f>(Table6[[#This Row],[mM]]/Table6[[#This Row],[sCOD (mg/L, accouting for dilution)]])*1000</f>
        <v>0.18816943568754854</v>
      </c>
      <c r="O6" s="6" t="s">
        <v>43</v>
      </c>
    </row>
    <row r="7" spans="1:17" x14ac:dyDescent="0.2">
      <c r="A7">
        <v>2</v>
      </c>
      <c r="B7" t="s">
        <v>38</v>
      </c>
      <c r="C7" t="s">
        <v>41</v>
      </c>
      <c r="D7" t="s">
        <v>40</v>
      </c>
      <c r="E7" t="s">
        <v>8</v>
      </c>
      <c r="F7" t="s">
        <v>2</v>
      </c>
      <c r="G7" s="5">
        <v>6.8934845903795283</v>
      </c>
      <c r="H7" s="5">
        <f>Table6[[#This Row],[mM]]*Q$1*Q$3*1000</f>
        <v>13.786969180759057</v>
      </c>
      <c r="I7" s="4">
        <v>644</v>
      </c>
      <c r="J7">
        <f>Table6[[#This Row],[sCOD (mg/L)]]*Q$4</f>
        <v>51520</v>
      </c>
      <c r="K7" s="5">
        <f>Table6[[#This Row],[sCOD (mg/L, accouting for dilution)]]*Q$1*Q$3</f>
        <v>103.04</v>
      </c>
      <c r="L7" s="5">
        <f>(Table6[[#This Row],[mM]]/Table6[[#This Row],[sCOD (mg/L, accouting for dilution)]])*1000</f>
        <v>0.13380210773252191</v>
      </c>
      <c r="O7" s="6" t="s">
        <v>39</v>
      </c>
      <c r="P7" t="s">
        <v>44</v>
      </c>
    </row>
    <row r="8" spans="1:17" x14ac:dyDescent="0.2">
      <c r="A8">
        <v>3</v>
      </c>
      <c r="B8" t="s">
        <v>38</v>
      </c>
      <c r="C8" t="s">
        <v>41</v>
      </c>
      <c r="D8" t="s">
        <v>40</v>
      </c>
      <c r="E8" t="s">
        <v>10</v>
      </c>
      <c r="F8" t="s">
        <v>2</v>
      </c>
      <c r="G8" s="5">
        <v>5.4632816719548956</v>
      </c>
      <c r="H8" s="5">
        <f>Table6[[#This Row],[mM]]*Q$1*Q$3*1000</f>
        <v>10.926563343909791</v>
      </c>
      <c r="I8" s="4">
        <v>632</v>
      </c>
      <c r="J8">
        <f>Table6[[#This Row],[sCOD (mg/L)]]*Q$4</f>
        <v>50560</v>
      </c>
      <c r="K8" s="5">
        <f>Table6[[#This Row],[sCOD (mg/L, accouting for dilution)]]*Q$1*Q$3</f>
        <v>101.12</v>
      </c>
      <c r="L8" s="5">
        <f>(Table6[[#This Row],[mM]]/Table6[[#This Row],[sCOD (mg/L, accouting for dilution)]])*1000</f>
        <v>0.10805541281556361</v>
      </c>
      <c r="O8" s="6" t="s">
        <v>41</v>
      </c>
      <c r="P8" s="5" t="s">
        <v>45</v>
      </c>
    </row>
    <row r="9" spans="1:17" x14ac:dyDescent="0.2">
      <c r="A9">
        <v>4</v>
      </c>
      <c r="B9" t="s">
        <v>38</v>
      </c>
      <c r="C9" t="s">
        <v>41</v>
      </c>
      <c r="D9" t="s">
        <v>40</v>
      </c>
      <c r="E9" t="s">
        <v>13</v>
      </c>
      <c r="F9" t="s">
        <v>2</v>
      </c>
      <c r="G9" s="5">
        <v>5.1713107700923535</v>
      </c>
      <c r="H9" s="5">
        <f>Table6[[#This Row],[mM]]*Q$1*Q$3*1000</f>
        <v>10.342621540184707</v>
      </c>
      <c r="I9" s="4">
        <v>558</v>
      </c>
      <c r="J9">
        <f>Table6[[#This Row],[sCOD (mg/L)]]*Q$4</f>
        <v>44640</v>
      </c>
      <c r="K9" s="5">
        <f>Table6[[#This Row],[sCOD (mg/L, accouting for dilution)]]*Q$1*Q$3</f>
        <v>89.28</v>
      </c>
      <c r="L9" s="5">
        <f>(Table6[[#This Row],[mM]]/Table6[[#This Row],[sCOD (mg/L, accouting for dilution)]])*1000</f>
        <v>0.11584477531568893</v>
      </c>
      <c r="O9" s="6" t="s">
        <v>42</v>
      </c>
      <c r="P9" t="s">
        <v>46</v>
      </c>
    </row>
    <row r="10" spans="1:17" x14ac:dyDescent="0.2">
      <c r="A10">
        <v>5</v>
      </c>
      <c r="B10" t="s">
        <v>38</v>
      </c>
      <c r="C10" t="s">
        <v>41</v>
      </c>
      <c r="D10" t="s">
        <v>40</v>
      </c>
      <c r="E10" t="s">
        <v>16</v>
      </c>
      <c r="F10" t="s">
        <v>2</v>
      </c>
      <c r="G10" s="5">
        <v>5.3481144285807547</v>
      </c>
      <c r="H10" s="5">
        <f>Table6[[#This Row],[mM]]*Q$1*Q$3*1000</f>
        <v>10.696228857161509</v>
      </c>
      <c r="I10" s="4">
        <v>716</v>
      </c>
      <c r="J10">
        <f>Table6[[#This Row],[sCOD (mg/L)]]*Q$4</f>
        <v>57280</v>
      </c>
      <c r="K10" s="5">
        <f>Table6[[#This Row],[sCOD (mg/L, accouting for dilution)]]*Q$1*Q$3</f>
        <v>114.56</v>
      </c>
      <c r="L10" s="5">
        <f>(Table6[[#This Row],[mM]]/Table6[[#This Row],[sCOD (mg/L, accouting for dilution)]])*1000</f>
        <v>9.3367919493379109E-2</v>
      </c>
    </row>
    <row r="11" spans="1:17" x14ac:dyDescent="0.2">
      <c r="A11">
        <v>6</v>
      </c>
      <c r="B11" t="s">
        <v>38</v>
      </c>
      <c r="C11" t="s">
        <v>41</v>
      </c>
      <c r="D11" t="s">
        <v>40</v>
      </c>
      <c r="E11" t="s">
        <v>18</v>
      </c>
      <c r="F11" t="s">
        <v>2</v>
      </c>
      <c r="G11" s="5">
        <v>10.8507845547764</v>
      </c>
      <c r="H11" s="5">
        <f>Table6[[#This Row],[mM]]*Q$1*Q$3*1000</f>
        <v>21.7015691095528</v>
      </c>
      <c r="I11" s="4">
        <v>573</v>
      </c>
      <c r="J11">
        <f>Table6[[#This Row],[sCOD (mg/L)]]*Q$4</f>
        <v>45840</v>
      </c>
      <c r="K11" s="5">
        <f>Table6[[#This Row],[sCOD (mg/L, accouting for dilution)]]*Q$1*Q$3</f>
        <v>91.68</v>
      </c>
      <c r="L11" s="5">
        <f>(Table6[[#This Row],[mM]]/Table6[[#This Row],[sCOD (mg/L, accouting for dilution)]])*1000</f>
        <v>0.23670995974643105</v>
      </c>
    </row>
    <row r="12" spans="1:17" x14ac:dyDescent="0.2">
      <c r="A12">
        <v>7</v>
      </c>
      <c r="B12" t="s">
        <v>38</v>
      </c>
      <c r="C12" t="s">
        <v>41</v>
      </c>
      <c r="D12" t="s">
        <v>40</v>
      </c>
      <c r="E12" t="s">
        <v>20</v>
      </c>
      <c r="F12" t="s">
        <v>2</v>
      </c>
      <c r="G12" s="5">
        <v>9.4055152702572702</v>
      </c>
      <c r="H12" s="5">
        <f>Table6[[#This Row],[mM]]*Q$1*Q$3*1000</f>
        <v>18.811030540514544</v>
      </c>
      <c r="I12" s="4">
        <v>525</v>
      </c>
      <c r="J12">
        <f>Table6[[#This Row],[sCOD (mg/L)]]*Q$4</f>
        <v>42000</v>
      </c>
      <c r="K12" s="5">
        <f>Table6[[#This Row],[sCOD (mg/L, accouting for dilution)]]*Q$1*Q$3</f>
        <v>84</v>
      </c>
      <c r="L12" s="5">
        <f>(Table6[[#This Row],[mM]]/Table6[[#This Row],[sCOD (mg/L, accouting for dilution)]])*1000</f>
        <v>0.22394083976803023</v>
      </c>
    </row>
    <row r="13" spans="1:17" x14ac:dyDescent="0.2">
      <c r="A13">
        <v>1</v>
      </c>
      <c r="B13" t="s">
        <v>38</v>
      </c>
      <c r="C13" t="s">
        <v>39</v>
      </c>
      <c r="D13" t="s">
        <v>40</v>
      </c>
      <c r="E13" t="s">
        <v>4</v>
      </c>
      <c r="F13" t="s">
        <v>1</v>
      </c>
      <c r="G13" s="5">
        <v>5.8813850655259525</v>
      </c>
      <c r="H13" s="5">
        <f>Table6[[#This Row],[mM]]*Q$1*Q$3*1000</f>
        <v>11.762770131051907</v>
      </c>
      <c r="I13" s="4">
        <v>593</v>
      </c>
      <c r="J13">
        <f>Table6[[#This Row],[sCOD (mg/L)]]*Q$4</f>
        <v>47440</v>
      </c>
      <c r="K13" s="5">
        <f>Table6[[#This Row],[sCOD (mg/L, accouting for dilution)]]*Q$1*Q$3</f>
        <v>94.88</v>
      </c>
      <c r="L13" s="5">
        <f>(Table6[[#This Row],[mM]]/Table6[[#This Row],[sCOD (mg/L, accouting for dilution)]])*1000</f>
        <v>0.12397523325307656</v>
      </c>
    </row>
    <row r="14" spans="1:17" x14ac:dyDescent="0.2">
      <c r="A14">
        <v>2</v>
      </c>
      <c r="B14" t="s">
        <v>38</v>
      </c>
      <c r="C14" t="s">
        <v>39</v>
      </c>
      <c r="D14" t="s">
        <v>40</v>
      </c>
      <c r="E14" t="s">
        <v>7</v>
      </c>
      <c r="F14" t="s">
        <v>1</v>
      </c>
      <c r="G14" s="5">
        <v>4.5644469592873245</v>
      </c>
      <c r="H14" s="5">
        <f>Table6[[#This Row],[mM]]*Q$1*Q$3*1000</f>
        <v>9.1288939185746489</v>
      </c>
      <c r="I14" s="4">
        <v>587</v>
      </c>
      <c r="J14">
        <f>Table6[[#This Row],[sCOD (mg/L)]]*Q$4</f>
        <v>46960</v>
      </c>
      <c r="K14" s="5">
        <f>Table6[[#This Row],[sCOD (mg/L, accouting for dilution)]]*Q$1*Q$3</f>
        <v>93.92</v>
      </c>
      <c r="L14" s="5">
        <f>(Table6[[#This Row],[mM]]/Table6[[#This Row],[sCOD (mg/L, accouting for dilution)]])*1000</f>
        <v>9.7198614976305886E-2</v>
      </c>
    </row>
    <row r="15" spans="1:17" x14ac:dyDescent="0.2">
      <c r="A15">
        <v>4</v>
      </c>
      <c r="B15" t="s">
        <v>38</v>
      </c>
      <c r="C15" t="s">
        <v>39</v>
      </c>
      <c r="D15" t="s">
        <v>40</v>
      </c>
      <c r="E15" t="s">
        <v>12</v>
      </c>
      <c r="F15" t="s">
        <v>1</v>
      </c>
      <c r="G15" s="5">
        <v>4.9256016736183375</v>
      </c>
      <c r="H15" s="5">
        <f>Table6[[#This Row],[mM]]*Q$1*Q$3*1000</f>
        <v>9.8512033472366749</v>
      </c>
      <c r="I15" s="4">
        <v>590</v>
      </c>
      <c r="J15">
        <f>Table6[[#This Row],[sCOD (mg/L)]]*Q$4</f>
        <v>47200</v>
      </c>
      <c r="K15" s="5">
        <f>Table6[[#This Row],[sCOD (mg/L, accouting for dilution)]]*Q$1*Q$3</f>
        <v>94.4</v>
      </c>
      <c r="L15" s="5">
        <f>(Table6[[#This Row],[mM]]/Table6[[#This Row],[sCOD (mg/L, accouting for dilution)]])*1000</f>
        <v>0.10435596766140545</v>
      </c>
    </row>
    <row r="16" spans="1:17" x14ac:dyDescent="0.2">
      <c r="A16">
        <v>5</v>
      </c>
      <c r="B16" t="s">
        <v>38</v>
      </c>
      <c r="C16" t="s">
        <v>39</v>
      </c>
      <c r="D16" t="s">
        <v>40</v>
      </c>
      <c r="E16" t="s">
        <v>15</v>
      </c>
      <c r="F16" t="s">
        <v>1</v>
      </c>
      <c r="G16" s="5">
        <v>4.5506498009016951</v>
      </c>
      <c r="H16" s="5">
        <f>Table6[[#This Row],[mM]]*Q$1*Q$3*1000</f>
        <v>9.1012996018033903</v>
      </c>
      <c r="I16" s="4">
        <v>602</v>
      </c>
      <c r="J16">
        <f>Table6[[#This Row],[sCOD (mg/L)]]*Q$4</f>
        <v>48160</v>
      </c>
      <c r="K16" s="5">
        <f>Table6[[#This Row],[sCOD (mg/L, accouting for dilution)]]*Q$1*Q$3</f>
        <v>96.320000000000007</v>
      </c>
      <c r="L16" s="5">
        <f>(Table6[[#This Row],[mM]]/Table6[[#This Row],[sCOD (mg/L, accouting for dilution)]])*1000</f>
        <v>9.4490236729686358E-2</v>
      </c>
    </row>
    <row r="17" spans="1:12" x14ac:dyDescent="0.2">
      <c r="A17">
        <v>1</v>
      </c>
      <c r="B17" t="s">
        <v>38</v>
      </c>
      <c r="C17" t="s">
        <v>41</v>
      </c>
      <c r="D17" t="s">
        <v>40</v>
      </c>
      <c r="E17" t="s">
        <v>5</v>
      </c>
      <c r="F17" t="s">
        <v>1</v>
      </c>
      <c r="G17" s="5">
        <v>5.6848471513052328</v>
      </c>
      <c r="H17" s="5">
        <f>Table6[[#This Row],[mM]]*Q$1*Q$3*1000</f>
        <v>11.369694302610466</v>
      </c>
      <c r="I17" s="4">
        <v>623</v>
      </c>
      <c r="J17">
        <f>Table6[[#This Row],[sCOD (mg/L)]]*Q$4</f>
        <v>49840</v>
      </c>
      <c r="K17" s="5">
        <f>Table6[[#This Row],[sCOD (mg/L, accouting for dilution)]]*Q$1*Q$3</f>
        <v>99.68</v>
      </c>
      <c r="L17" s="5">
        <f>(Table6[[#This Row],[mM]]/Table6[[#This Row],[sCOD (mg/L, accouting for dilution)]])*1000</f>
        <v>0.11406194123806647</v>
      </c>
    </row>
    <row r="18" spans="1:12" x14ac:dyDescent="0.2">
      <c r="A18">
        <v>2</v>
      </c>
      <c r="B18" t="s">
        <v>38</v>
      </c>
      <c r="C18" t="s">
        <v>41</v>
      </c>
      <c r="D18" t="s">
        <v>40</v>
      </c>
      <c r="E18" t="s">
        <v>8</v>
      </c>
      <c r="F18" t="s">
        <v>1</v>
      </c>
      <c r="G18" s="5">
        <v>2.794547058108126</v>
      </c>
      <c r="H18" s="5">
        <f>Table6[[#This Row],[mM]]*Q$1*Q$3*1000</f>
        <v>5.589094116216252</v>
      </c>
      <c r="I18" s="4">
        <v>644</v>
      </c>
      <c r="J18">
        <f>Table6[[#This Row],[sCOD (mg/L)]]*Q$4</f>
        <v>51520</v>
      </c>
      <c r="K18" s="5">
        <f>Table6[[#This Row],[sCOD (mg/L, accouting for dilution)]]*Q$1*Q$3</f>
        <v>103.04</v>
      </c>
      <c r="L18" s="5">
        <f>(Table6[[#This Row],[mM]]/Table6[[#This Row],[sCOD (mg/L, accouting for dilution)]])*1000</f>
        <v>5.4241984823527288E-2</v>
      </c>
    </row>
    <row r="19" spans="1:12" x14ac:dyDescent="0.2">
      <c r="A19">
        <v>3</v>
      </c>
      <c r="B19" t="s">
        <v>38</v>
      </c>
      <c r="C19" t="s">
        <v>41</v>
      </c>
      <c r="D19" t="s">
        <v>40</v>
      </c>
      <c r="E19" t="s">
        <v>10</v>
      </c>
      <c r="F19" t="s">
        <v>1</v>
      </c>
      <c r="G19" s="5">
        <v>2.4326936194698408</v>
      </c>
      <c r="H19" s="5">
        <f>Table6[[#This Row],[mM]]*Q$1*Q$3*1000</f>
        <v>4.8653872389396815</v>
      </c>
      <c r="I19" s="4">
        <v>632</v>
      </c>
      <c r="J19">
        <f>Table6[[#This Row],[sCOD (mg/L)]]*Q$4</f>
        <v>50560</v>
      </c>
      <c r="K19" s="5">
        <f>Table6[[#This Row],[sCOD (mg/L, accouting for dilution)]]*Q$1*Q$3</f>
        <v>101.12</v>
      </c>
      <c r="L19" s="5">
        <f>(Table6[[#This Row],[mM]]/Table6[[#This Row],[sCOD (mg/L, accouting for dilution)]])*1000</f>
        <v>4.8114984562299068E-2</v>
      </c>
    </row>
    <row r="20" spans="1:12" x14ac:dyDescent="0.2">
      <c r="A20">
        <v>4</v>
      </c>
      <c r="B20" t="s">
        <v>38</v>
      </c>
      <c r="C20" t="s">
        <v>41</v>
      </c>
      <c r="D20" t="s">
        <v>40</v>
      </c>
      <c r="E20" t="s">
        <v>13</v>
      </c>
      <c r="F20" t="s">
        <v>1</v>
      </c>
      <c r="G20" s="5">
        <v>3.815618031813039</v>
      </c>
      <c r="H20" s="5">
        <f>Table6[[#This Row],[mM]]*Q$1*Q$3*1000</f>
        <v>7.6312360636260781</v>
      </c>
      <c r="I20" s="4">
        <v>558</v>
      </c>
      <c r="J20">
        <f>Table6[[#This Row],[sCOD (mg/L)]]*Q$4</f>
        <v>44640</v>
      </c>
      <c r="K20" s="5">
        <f>Table6[[#This Row],[sCOD (mg/L, accouting for dilution)]]*Q$1*Q$3</f>
        <v>89.28</v>
      </c>
      <c r="L20" s="5">
        <f>(Table6[[#This Row],[mM]]/Table6[[#This Row],[sCOD (mg/L, accouting for dilution)]])*1000</f>
        <v>8.5475314332729369E-2</v>
      </c>
    </row>
    <row r="21" spans="1:12" x14ac:dyDescent="0.2">
      <c r="A21">
        <v>5</v>
      </c>
      <c r="B21" t="s">
        <v>38</v>
      </c>
      <c r="C21" t="s">
        <v>41</v>
      </c>
      <c r="D21" t="s">
        <v>40</v>
      </c>
      <c r="E21" t="s">
        <v>16</v>
      </c>
      <c r="F21" t="s">
        <v>1</v>
      </c>
      <c r="G21" s="5">
        <v>6.6821432364503481</v>
      </c>
      <c r="H21" s="5">
        <f>Table6[[#This Row],[mM]]*Q$1*Q$3*1000</f>
        <v>13.364286472900698</v>
      </c>
      <c r="I21" s="4">
        <v>716</v>
      </c>
      <c r="J21">
        <f>Table6[[#This Row],[sCOD (mg/L)]]*Q$4</f>
        <v>57280</v>
      </c>
      <c r="K21" s="5">
        <f>Table6[[#This Row],[sCOD (mg/L, accouting for dilution)]]*Q$1*Q$3</f>
        <v>114.56</v>
      </c>
      <c r="L21" s="5">
        <f>(Table6[[#This Row],[mM]]/Table6[[#This Row],[sCOD (mg/L, accouting for dilution)]])*1000</f>
        <v>0.11665752856931473</v>
      </c>
    </row>
    <row r="22" spans="1:12" x14ac:dyDescent="0.2">
      <c r="A22">
        <v>6</v>
      </c>
      <c r="B22" t="s">
        <v>38</v>
      </c>
      <c r="C22" t="s">
        <v>41</v>
      </c>
      <c r="D22" t="s">
        <v>40</v>
      </c>
      <c r="E22" t="s">
        <v>18</v>
      </c>
      <c r="F22" t="s">
        <v>1</v>
      </c>
      <c r="G22" s="5">
        <v>4.6408969265616182</v>
      </c>
      <c r="H22" s="5">
        <f>Table6[[#This Row],[mM]]*Q$1*Q$3*1000</f>
        <v>9.2817938531232365</v>
      </c>
      <c r="I22" s="4">
        <v>573</v>
      </c>
      <c r="J22">
        <f>Table6[[#This Row],[sCOD (mg/L)]]*Q$4</f>
        <v>45840</v>
      </c>
      <c r="K22" s="5">
        <f>Table6[[#This Row],[sCOD (mg/L, accouting for dilution)]]*Q$1*Q$3</f>
        <v>91.68</v>
      </c>
      <c r="L22" s="5">
        <f>(Table6[[#This Row],[mM]]/Table6[[#This Row],[sCOD (mg/L, accouting for dilution)]])*1000</f>
        <v>0.10124120694942448</v>
      </c>
    </row>
    <row r="23" spans="1:12" x14ac:dyDescent="0.2">
      <c r="A23">
        <v>7</v>
      </c>
      <c r="B23" t="s">
        <v>38</v>
      </c>
      <c r="C23" t="s">
        <v>41</v>
      </c>
      <c r="D23" t="s">
        <v>40</v>
      </c>
      <c r="E23" t="s">
        <v>20</v>
      </c>
      <c r="F23" t="s">
        <v>1</v>
      </c>
      <c r="G23" s="5">
        <v>4.9215019616790894</v>
      </c>
      <c r="H23" s="5">
        <f>Table6[[#This Row],[mM]]*Q$1*Q$3*1000</f>
        <v>9.8430039233581788</v>
      </c>
      <c r="I23" s="4">
        <v>525</v>
      </c>
      <c r="J23">
        <f>Table6[[#This Row],[sCOD (mg/L)]]*Q$4</f>
        <v>42000</v>
      </c>
      <c r="K23" s="5">
        <f>Table6[[#This Row],[sCOD (mg/L, accouting for dilution)]]*Q$1*Q$3</f>
        <v>84</v>
      </c>
      <c r="L23" s="5">
        <f>(Table6[[#This Row],[mM]]/Table6[[#This Row],[sCOD (mg/L, accouting for dilution)]])*1000</f>
        <v>0.11717861813521642</v>
      </c>
    </row>
    <row r="24" spans="1:12" x14ac:dyDescent="0.2">
      <c r="A24">
        <v>1</v>
      </c>
      <c r="B24" t="s">
        <v>38</v>
      </c>
      <c r="C24" t="s">
        <v>39</v>
      </c>
      <c r="D24" t="s">
        <v>40</v>
      </c>
      <c r="E24" t="s">
        <v>4</v>
      </c>
      <c r="F24" t="s">
        <v>3</v>
      </c>
      <c r="G24" s="5">
        <v>1.9004046437398681</v>
      </c>
      <c r="H24" s="5">
        <f>Table6[[#This Row],[mM]]*Q$1*Q$3*1000</f>
        <v>3.8008092874797361</v>
      </c>
      <c r="I24" s="4">
        <v>593</v>
      </c>
      <c r="J24">
        <f>Table6[[#This Row],[sCOD (mg/L)]]*Q$4</f>
        <v>47440</v>
      </c>
      <c r="K24" s="5">
        <f>Table6[[#This Row],[sCOD (mg/L, accouting for dilution)]]*Q$1*Q$3</f>
        <v>94.88</v>
      </c>
      <c r="L24" s="5">
        <f>(Table6[[#This Row],[mM]]/Table6[[#This Row],[sCOD (mg/L, accouting for dilution)]])*1000</f>
        <v>4.0059119809019141E-2</v>
      </c>
    </row>
    <row r="25" spans="1:12" x14ac:dyDescent="0.2">
      <c r="A25">
        <v>2</v>
      </c>
      <c r="B25" t="s">
        <v>38</v>
      </c>
      <c r="C25" t="s">
        <v>39</v>
      </c>
      <c r="D25" t="s">
        <v>40</v>
      </c>
      <c r="E25" t="s">
        <v>7</v>
      </c>
      <c r="F25" t="s">
        <v>3</v>
      </c>
      <c r="G25" s="5">
        <v>1.4042361601084254</v>
      </c>
      <c r="H25" s="5">
        <f>Table6[[#This Row],[mM]]*Q$1*Q$3*1000</f>
        <v>2.8084723202168509</v>
      </c>
      <c r="I25" s="4">
        <v>587</v>
      </c>
      <c r="J25">
        <f>Table6[[#This Row],[sCOD (mg/L)]]*Q$4</f>
        <v>46960</v>
      </c>
      <c r="K25" s="5">
        <f>Table6[[#This Row],[sCOD (mg/L, accouting for dilution)]]*Q$1*Q$3</f>
        <v>93.92</v>
      </c>
      <c r="L25" s="5">
        <f>(Table6[[#This Row],[mM]]/Table6[[#This Row],[sCOD (mg/L, accouting for dilution)]])*1000</f>
        <v>2.9902814312359999E-2</v>
      </c>
    </row>
    <row r="26" spans="1:12" x14ac:dyDescent="0.2">
      <c r="A26">
        <v>4</v>
      </c>
      <c r="B26" t="s">
        <v>38</v>
      </c>
      <c r="C26" t="s">
        <v>39</v>
      </c>
      <c r="D26" t="s">
        <v>40</v>
      </c>
      <c r="E26" t="s">
        <v>12</v>
      </c>
      <c r="F26" t="s">
        <v>3</v>
      </c>
      <c r="G26" s="5">
        <v>1.7075971082068426</v>
      </c>
      <c r="H26" s="5">
        <f>Table6[[#This Row],[mM]]*Q$1*Q$3*1000</f>
        <v>3.4151942164136853</v>
      </c>
      <c r="I26" s="4">
        <v>590</v>
      </c>
      <c r="J26">
        <f>Table6[[#This Row],[sCOD (mg/L)]]*Q$4</f>
        <v>47200</v>
      </c>
      <c r="K26" s="5">
        <f>Table6[[#This Row],[sCOD (mg/L, accouting for dilution)]]*Q$1*Q$3</f>
        <v>94.4</v>
      </c>
      <c r="L26" s="5">
        <f>(Table6[[#This Row],[mM]]/Table6[[#This Row],[sCOD (mg/L, accouting for dilution)]])*1000</f>
        <v>3.617790483489073E-2</v>
      </c>
    </row>
    <row r="27" spans="1:12" x14ac:dyDescent="0.2">
      <c r="A27">
        <v>5</v>
      </c>
      <c r="B27" t="s">
        <v>38</v>
      </c>
      <c r="C27" t="s">
        <v>39</v>
      </c>
      <c r="D27" t="s">
        <v>40</v>
      </c>
      <c r="E27" t="s">
        <v>15</v>
      </c>
      <c r="F27" t="s">
        <v>3</v>
      </c>
      <c r="G27" s="5">
        <v>3.2608533063229173</v>
      </c>
      <c r="H27" s="5">
        <f>Table6[[#This Row],[mM]]*Q$1*Q$3*1000</f>
        <v>6.5217066126458345</v>
      </c>
      <c r="I27" s="4">
        <v>602</v>
      </c>
      <c r="J27">
        <f>Table6[[#This Row],[sCOD (mg/L)]]*Q$4</f>
        <v>48160</v>
      </c>
      <c r="K27" s="5">
        <f>Table6[[#This Row],[sCOD (mg/L, accouting for dilution)]]*Q$1*Q$3</f>
        <v>96.320000000000007</v>
      </c>
      <c r="L27" s="5">
        <f>(Table6[[#This Row],[mM]]/Table6[[#This Row],[sCOD (mg/L, accouting for dilution)]])*1000</f>
        <v>6.7708748054877838E-2</v>
      </c>
    </row>
    <row r="28" spans="1:12" x14ac:dyDescent="0.2">
      <c r="A28">
        <v>1</v>
      </c>
      <c r="B28" t="s">
        <v>38</v>
      </c>
      <c r="C28" t="s">
        <v>41</v>
      </c>
      <c r="D28" t="s">
        <v>40</v>
      </c>
      <c r="E28" t="s">
        <v>5</v>
      </c>
      <c r="F28" t="s">
        <v>3</v>
      </c>
      <c r="G28" s="5">
        <v>2.9943550825576768</v>
      </c>
      <c r="H28" s="5">
        <f>Table6[[#This Row],[mM]]*Q$1*Q$3*1000</f>
        <v>5.9887101651153545</v>
      </c>
      <c r="I28" s="4">
        <v>623</v>
      </c>
      <c r="J28">
        <f>Table6[[#This Row],[sCOD (mg/L)]]*Q$4</f>
        <v>49840</v>
      </c>
      <c r="K28" s="5">
        <f>Table6[[#This Row],[sCOD (mg/L, accouting for dilution)]]*Q$1*Q$3</f>
        <v>99.68</v>
      </c>
      <c r="L28" s="5">
        <f>(Table6[[#This Row],[mM]]/Table6[[#This Row],[sCOD (mg/L, accouting for dilution)]])*1000</f>
        <v>6.0079355589038458E-2</v>
      </c>
    </row>
    <row r="29" spans="1:12" x14ac:dyDescent="0.2">
      <c r="A29">
        <v>2</v>
      </c>
      <c r="B29" t="s">
        <v>38</v>
      </c>
      <c r="C29" t="s">
        <v>41</v>
      </c>
      <c r="D29" t="s">
        <v>40</v>
      </c>
      <c r="E29" t="s">
        <v>8</v>
      </c>
      <c r="F29" t="s">
        <v>3</v>
      </c>
      <c r="G29" s="5">
        <v>0.5687812338774072</v>
      </c>
      <c r="H29" s="5">
        <f>Table6[[#This Row],[mM]]*Q$1*Q$3*1000</f>
        <v>1.1375624677548144</v>
      </c>
      <c r="I29" s="4">
        <v>644</v>
      </c>
      <c r="J29">
        <f>Table6[[#This Row],[sCOD (mg/L)]]*Q$4</f>
        <v>51520</v>
      </c>
      <c r="K29" s="5">
        <f>Table6[[#This Row],[sCOD (mg/L, accouting for dilution)]]*Q$1*Q$3</f>
        <v>103.04</v>
      </c>
      <c r="L29" s="5">
        <f>(Table6[[#This Row],[mM]]/Table6[[#This Row],[sCOD (mg/L, accouting for dilution)]])*1000</f>
        <v>1.1040008421533526E-2</v>
      </c>
    </row>
    <row r="30" spans="1:12" x14ac:dyDescent="0.2">
      <c r="A30">
        <v>3</v>
      </c>
      <c r="B30" t="s">
        <v>38</v>
      </c>
      <c r="C30" t="s">
        <v>41</v>
      </c>
      <c r="D30" t="s">
        <v>40</v>
      </c>
      <c r="E30" t="s">
        <v>10</v>
      </c>
      <c r="F30" t="s">
        <v>3</v>
      </c>
      <c r="G30" s="5">
        <v>1.1760370347194828</v>
      </c>
      <c r="H30" s="5">
        <f>Table6[[#This Row],[mM]]*Q$1*Q$3*1000</f>
        <v>2.3520740694389657</v>
      </c>
      <c r="I30" s="4">
        <v>632</v>
      </c>
      <c r="J30">
        <f>Table6[[#This Row],[sCOD (mg/L)]]*Q$4</f>
        <v>50560</v>
      </c>
      <c r="K30" s="5">
        <f>Table6[[#This Row],[sCOD (mg/L, accouting for dilution)]]*Q$1*Q$3</f>
        <v>101.12</v>
      </c>
      <c r="L30" s="5">
        <f>(Table6[[#This Row],[mM]]/Table6[[#This Row],[sCOD (mg/L, accouting for dilution)]])*1000</f>
        <v>2.3260226161382177E-2</v>
      </c>
    </row>
    <row r="31" spans="1:12" x14ac:dyDescent="0.2">
      <c r="A31">
        <v>4</v>
      </c>
      <c r="B31" t="s">
        <v>38</v>
      </c>
      <c r="C31" t="s">
        <v>41</v>
      </c>
      <c r="D31" t="s">
        <v>40</v>
      </c>
      <c r="E31" t="s">
        <v>13</v>
      </c>
      <c r="F31" t="s">
        <v>3</v>
      </c>
      <c r="G31" s="5">
        <v>0.54510501692163948</v>
      </c>
      <c r="H31" s="5">
        <f>Table6[[#This Row],[mM]]*Q$1*Q$3*1000</f>
        <v>1.090210033843279</v>
      </c>
      <c r="I31" s="4">
        <v>558</v>
      </c>
      <c r="J31">
        <f>Table6[[#This Row],[sCOD (mg/L)]]*Q$4</f>
        <v>44640</v>
      </c>
      <c r="K31" s="5">
        <f>Table6[[#This Row],[sCOD (mg/L, accouting for dilution)]]*Q$1*Q$3</f>
        <v>89.28</v>
      </c>
      <c r="L31" s="5">
        <f>(Table6[[#This Row],[mM]]/Table6[[#This Row],[sCOD (mg/L, accouting for dilution)]])*1000</f>
        <v>1.2211133891613789E-2</v>
      </c>
    </row>
    <row r="32" spans="1:12" x14ac:dyDescent="0.2">
      <c r="A32">
        <v>5</v>
      </c>
      <c r="B32" t="s">
        <v>38</v>
      </c>
      <c r="C32" t="s">
        <v>41</v>
      </c>
      <c r="D32" t="s">
        <v>40</v>
      </c>
      <c r="E32" t="s">
        <v>16</v>
      </c>
      <c r="F32" t="s">
        <v>3</v>
      </c>
      <c r="G32" s="5">
        <v>4.7764491127658379</v>
      </c>
      <c r="H32" s="5">
        <f>Table6[[#This Row],[mM]]*Q$1*Q$3*1000</f>
        <v>9.5528982255316759</v>
      </c>
      <c r="I32" s="4">
        <v>716</v>
      </c>
      <c r="J32">
        <f>Table6[[#This Row],[sCOD (mg/L)]]*Q$4</f>
        <v>57280</v>
      </c>
      <c r="K32" s="5">
        <f>Table6[[#This Row],[sCOD (mg/L, accouting for dilution)]]*Q$1*Q$3</f>
        <v>114.56</v>
      </c>
      <c r="L32" s="5">
        <f>(Table6[[#This Row],[mM]]/Table6[[#This Row],[sCOD (mg/L, accouting for dilution)]])*1000</f>
        <v>8.3387728923984605E-2</v>
      </c>
    </row>
    <row r="33" spans="1:12" x14ac:dyDescent="0.2">
      <c r="A33">
        <v>6</v>
      </c>
      <c r="B33" t="s">
        <v>38</v>
      </c>
      <c r="C33" t="s">
        <v>41</v>
      </c>
      <c r="D33" t="s">
        <v>40</v>
      </c>
      <c r="E33" t="s">
        <v>18</v>
      </c>
      <c r="F33" t="s">
        <v>3</v>
      </c>
      <c r="G33" s="5">
        <v>3.6224342060752313</v>
      </c>
      <c r="H33" s="5">
        <f>Table6[[#This Row],[mM]]*Q$1*Q$3*1000</f>
        <v>7.2448684121504625</v>
      </c>
      <c r="I33" s="4">
        <v>573</v>
      </c>
      <c r="J33">
        <f>Table6[[#This Row],[sCOD (mg/L)]]*Q$4</f>
        <v>45840</v>
      </c>
      <c r="K33" s="5">
        <f>Table6[[#This Row],[sCOD (mg/L, accouting for dilution)]]*Q$1*Q$3</f>
        <v>91.68</v>
      </c>
      <c r="L33" s="5">
        <f>(Table6[[#This Row],[mM]]/Table6[[#This Row],[sCOD (mg/L, accouting for dilution)]])*1000</f>
        <v>7.9023433814904703E-2</v>
      </c>
    </row>
    <row r="34" spans="1:12" x14ac:dyDescent="0.2">
      <c r="A34">
        <v>7</v>
      </c>
      <c r="B34" t="s">
        <v>38</v>
      </c>
      <c r="C34" t="s">
        <v>41</v>
      </c>
      <c r="D34" t="s">
        <v>40</v>
      </c>
      <c r="E34" t="s">
        <v>20</v>
      </c>
      <c r="F34" t="s">
        <v>3</v>
      </c>
      <c r="G34" s="5">
        <v>0.91608347163906834</v>
      </c>
      <c r="H34" s="5">
        <f>Table6[[#This Row],[mM]]*Q$1*Q$3*1000</f>
        <v>1.8321669432781367</v>
      </c>
      <c r="I34" s="4">
        <v>525</v>
      </c>
      <c r="J34">
        <f>Table6[[#This Row],[sCOD (mg/L)]]*Q$4</f>
        <v>42000</v>
      </c>
      <c r="K34" s="5">
        <f>Table6[[#This Row],[sCOD (mg/L, accouting for dilution)]]*Q$1*Q$3</f>
        <v>84</v>
      </c>
      <c r="L34" s="5">
        <f>(Table6[[#This Row],[mM]]/Table6[[#This Row],[sCOD (mg/L, accouting for dilution)]])*1000</f>
        <v>2.1811511229501628E-2</v>
      </c>
    </row>
    <row r="35" spans="1:12" x14ac:dyDescent="0.2">
      <c r="A35">
        <v>1</v>
      </c>
      <c r="B35" t="s">
        <v>38</v>
      </c>
      <c r="C35" t="s">
        <v>42</v>
      </c>
      <c r="D35" t="s">
        <v>40</v>
      </c>
      <c r="E35" t="s">
        <v>6</v>
      </c>
      <c r="F35" t="s">
        <v>3</v>
      </c>
      <c r="G35" s="5">
        <v>0.29544418762631502</v>
      </c>
      <c r="H35" s="5">
        <f>Table6[[#This Row],[mM]]*Q$1*Q$3*1000</f>
        <v>0.59088837525263005</v>
      </c>
      <c r="I35" s="4">
        <v>530</v>
      </c>
      <c r="J35">
        <f>Table6[[#This Row],[sCOD (mg/L)]]*Q$4</f>
        <v>42400</v>
      </c>
      <c r="K35" s="5">
        <f>Table6[[#This Row],[sCOD (mg/L, accouting for dilution)]]*Q$1*Q$3</f>
        <v>84.8</v>
      </c>
      <c r="L35" s="5">
        <f>(Table6[[#This Row],[mM]]/Table6[[#This Row],[sCOD (mg/L, accouting for dilution)]])*1000</f>
        <v>6.9680232930734677E-3</v>
      </c>
    </row>
    <row r="36" spans="1:12" x14ac:dyDescent="0.2">
      <c r="A36">
        <v>2</v>
      </c>
      <c r="B36" t="s">
        <v>38</v>
      </c>
      <c r="C36" t="s">
        <v>42</v>
      </c>
      <c r="D36" t="s">
        <v>40</v>
      </c>
      <c r="E36" t="s">
        <v>9</v>
      </c>
      <c r="F36" t="s">
        <v>3</v>
      </c>
      <c r="G36" s="5">
        <v>1.301183059788072</v>
      </c>
      <c r="H36" s="5">
        <f>Table6[[#This Row],[mM]]*Q$1*Q$3*1000</f>
        <v>2.6023661195761441</v>
      </c>
      <c r="I36" s="4">
        <v>608</v>
      </c>
      <c r="J36">
        <f>Table6[[#This Row],[sCOD (mg/L)]]*Q$4</f>
        <v>48640</v>
      </c>
      <c r="K36" s="5">
        <f>Table6[[#This Row],[sCOD (mg/L, accouting for dilution)]]*Q$1*Q$3</f>
        <v>97.28</v>
      </c>
      <c r="L36" s="5">
        <f>(Table6[[#This Row],[mM]]/Table6[[#This Row],[sCOD (mg/L, accouting for dilution)]])*1000</f>
        <v>2.6751296459458718E-2</v>
      </c>
    </row>
    <row r="37" spans="1:12" x14ac:dyDescent="0.2">
      <c r="A37">
        <v>3</v>
      </c>
      <c r="B37" t="s">
        <v>38</v>
      </c>
      <c r="C37" t="s">
        <v>42</v>
      </c>
      <c r="D37" t="s">
        <v>40</v>
      </c>
      <c r="E37" t="s">
        <v>11</v>
      </c>
      <c r="F37" t="s">
        <v>3</v>
      </c>
      <c r="G37" s="5">
        <v>2.1685756645757648</v>
      </c>
      <c r="H37" s="5">
        <f>Table6[[#This Row],[mM]]*Q$1*Q$3*1000</f>
        <v>4.3371513291515296</v>
      </c>
      <c r="I37" s="4">
        <v>589</v>
      </c>
      <c r="J37">
        <f>Table6[[#This Row],[sCOD (mg/L)]]*Q$4</f>
        <v>47120</v>
      </c>
      <c r="K37" s="5">
        <f>Table6[[#This Row],[sCOD (mg/L, accouting for dilution)]]*Q$1*Q$3</f>
        <v>94.24</v>
      </c>
      <c r="L37" s="5">
        <f>(Table6[[#This Row],[mM]]/Table6[[#This Row],[sCOD (mg/L, accouting for dilution)]])*1000</f>
        <v>4.6022403747363431E-2</v>
      </c>
    </row>
    <row r="38" spans="1:12" x14ac:dyDescent="0.2">
      <c r="A38">
        <v>4</v>
      </c>
      <c r="B38" t="s">
        <v>38</v>
      </c>
      <c r="C38" t="s">
        <v>42</v>
      </c>
      <c r="D38" t="s">
        <v>40</v>
      </c>
      <c r="E38" t="s">
        <v>14</v>
      </c>
      <c r="F38" t="s">
        <v>3</v>
      </c>
      <c r="G38" s="5">
        <v>1.0758854542305021</v>
      </c>
      <c r="H38" s="5">
        <f>Table6[[#This Row],[mM]]*Q$1*Q$3*1000</f>
        <v>2.1517709084610042</v>
      </c>
      <c r="I38" s="4">
        <v>502</v>
      </c>
      <c r="J38">
        <f>Table6[[#This Row],[sCOD (mg/L)]]*Q$4</f>
        <v>40160</v>
      </c>
      <c r="K38" s="5">
        <f>Table6[[#This Row],[sCOD (mg/L, accouting for dilution)]]*Q$1*Q$3</f>
        <v>80.320000000000007</v>
      </c>
      <c r="L38" s="5">
        <f>(Table6[[#This Row],[mM]]/Table6[[#This Row],[sCOD (mg/L, accouting for dilution)]])*1000</f>
        <v>2.6789976449962703E-2</v>
      </c>
    </row>
    <row r="39" spans="1:12" x14ac:dyDescent="0.2">
      <c r="A39">
        <v>5</v>
      </c>
      <c r="B39" t="s">
        <v>38</v>
      </c>
      <c r="C39" t="s">
        <v>42</v>
      </c>
      <c r="D39" t="s">
        <v>40</v>
      </c>
      <c r="E39" t="s">
        <v>17</v>
      </c>
      <c r="F39" t="s">
        <v>3</v>
      </c>
      <c r="G39" s="5">
        <v>1.2613839250005332</v>
      </c>
      <c r="H39" s="5">
        <f>Table6[[#This Row],[mM]]*Q$1*Q$3*1000</f>
        <v>2.5227678500010664</v>
      </c>
      <c r="I39" s="4">
        <v>593</v>
      </c>
      <c r="J39">
        <f>Table6[[#This Row],[sCOD (mg/L)]]*Q$4</f>
        <v>47440</v>
      </c>
      <c r="K39" s="5">
        <f>Table6[[#This Row],[sCOD (mg/L, accouting for dilution)]]*Q$1*Q$3</f>
        <v>94.88</v>
      </c>
      <c r="L39" s="5">
        <f>(Table6[[#This Row],[mM]]/Table6[[#This Row],[sCOD (mg/L, accouting for dilution)]])*1000</f>
        <v>2.6589037204901626E-2</v>
      </c>
    </row>
    <row r="40" spans="1:12" x14ac:dyDescent="0.2">
      <c r="A40">
        <v>6</v>
      </c>
      <c r="B40" t="s">
        <v>38</v>
      </c>
      <c r="C40" t="s">
        <v>42</v>
      </c>
      <c r="D40" t="s">
        <v>40</v>
      </c>
      <c r="E40" t="s">
        <v>19</v>
      </c>
      <c r="F40" t="s">
        <v>3</v>
      </c>
      <c r="G40" s="5">
        <v>2.8158088287982381</v>
      </c>
      <c r="H40" s="5">
        <f>Table6[[#This Row],[mM]]*Q$1*Q$3*1000</f>
        <v>5.6316176575964763</v>
      </c>
      <c r="I40" s="4">
        <v>589</v>
      </c>
      <c r="J40">
        <f>Table6[[#This Row],[sCOD (mg/L)]]*Q$4</f>
        <v>47120</v>
      </c>
      <c r="K40" s="5">
        <f>Table6[[#This Row],[sCOD (mg/L, accouting for dilution)]]*Q$1*Q$3</f>
        <v>94.24</v>
      </c>
      <c r="L40" s="5">
        <f>(Table6[[#This Row],[mM]]/Table6[[#This Row],[sCOD (mg/L, accouting for dilution)]])*1000</f>
        <v>5.9758251884512691E-2</v>
      </c>
    </row>
    <row r="41" spans="1:12" x14ac:dyDescent="0.2">
      <c r="A41">
        <v>7</v>
      </c>
      <c r="B41" t="s">
        <v>38</v>
      </c>
      <c r="C41" t="s">
        <v>42</v>
      </c>
      <c r="D41" t="s">
        <v>40</v>
      </c>
      <c r="E41" t="s">
        <v>21</v>
      </c>
      <c r="F41" t="s">
        <v>3</v>
      </c>
      <c r="G41" s="5">
        <v>0.96525112926886236</v>
      </c>
      <c r="H41" s="5">
        <f>Table6[[#This Row],[mM]]*Q$1*Q$3*1000</f>
        <v>1.9305022585377247</v>
      </c>
      <c r="I41" s="4">
        <v>560</v>
      </c>
      <c r="J41">
        <f>Table6[[#This Row],[sCOD (mg/L)]]*Q$4</f>
        <v>44800</v>
      </c>
      <c r="K41" s="5">
        <f>Table6[[#This Row],[sCOD (mg/L, accouting for dilution)]]*Q$1*Q$3</f>
        <v>89.600000000000009</v>
      </c>
      <c r="L41" s="5">
        <f>(Table6[[#This Row],[mM]]/Table6[[#This Row],[sCOD (mg/L, accouting for dilution)]])*1000</f>
        <v>2.1545784135465675E-2</v>
      </c>
    </row>
    <row r="42" spans="1:12" x14ac:dyDescent="0.2">
      <c r="A42">
        <v>8</v>
      </c>
      <c r="B42" t="s">
        <v>38</v>
      </c>
      <c r="C42" t="s">
        <v>42</v>
      </c>
      <c r="D42" t="s">
        <v>40</v>
      </c>
      <c r="E42" t="s">
        <v>22</v>
      </c>
      <c r="F42" t="s">
        <v>3</v>
      </c>
      <c r="G42" s="5">
        <v>1.2593025951874537</v>
      </c>
      <c r="H42" s="5">
        <f>Table6[[#This Row],[mM]]*Q$1*Q$3*1000</f>
        <v>2.5186051903749074</v>
      </c>
      <c r="I42" s="4">
        <v>594</v>
      </c>
      <c r="J42">
        <f>Table6[[#This Row],[sCOD (mg/L)]]*Q$4</f>
        <v>47520</v>
      </c>
      <c r="K42" s="5">
        <f>Table6[[#This Row],[sCOD (mg/L, accouting for dilution)]]*Q$1*Q$3</f>
        <v>95.04</v>
      </c>
      <c r="L42" s="5">
        <f>(Table6[[#This Row],[mM]]/Table6[[#This Row],[sCOD (mg/L, accouting for dilution)]])*1000</f>
        <v>2.6500475487951466E-2</v>
      </c>
    </row>
    <row r="43" spans="1:12" x14ac:dyDescent="0.2">
      <c r="A43">
        <v>9</v>
      </c>
      <c r="B43" t="s">
        <v>38</v>
      </c>
      <c r="C43" t="s">
        <v>42</v>
      </c>
      <c r="D43" t="s">
        <v>40</v>
      </c>
      <c r="E43" t="s">
        <v>23</v>
      </c>
      <c r="F43" t="s">
        <v>3</v>
      </c>
      <c r="G43" s="5">
        <v>0.68501023118047655</v>
      </c>
      <c r="H43" s="5">
        <f>Table6[[#This Row],[mM]]*Q$1*Q$3*1000</f>
        <v>1.3700204623609531</v>
      </c>
      <c r="I43" s="4">
        <v>610</v>
      </c>
      <c r="J43">
        <f>Table6[[#This Row],[sCOD (mg/L)]]*Q$4</f>
        <v>48800</v>
      </c>
      <c r="K43" s="5">
        <f>Table6[[#This Row],[sCOD (mg/L, accouting for dilution)]]*Q$1*Q$3</f>
        <v>97.600000000000009</v>
      </c>
      <c r="L43" s="5">
        <f>(Table6[[#This Row],[mM]]/Table6[[#This Row],[sCOD (mg/L, accouting for dilution)]])*1000</f>
        <v>1.4037094901239272E-2</v>
      </c>
    </row>
    <row r="44" spans="1:12" x14ac:dyDescent="0.2">
      <c r="A44">
        <v>1</v>
      </c>
      <c r="B44" t="s">
        <v>38</v>
      </c>
      <c r="C44" t="s">
        <v>42</v>
      </c>
      <c r="D44" t="s">
        <v>40</v>
      </c>
      <c r="E44" t="s">
        <v>6</v>
      </c>
      <c r="F44" t="s">
        <v>2</v>
      </c>
      <c r="G44" s="5">
        <v>4.8792006258031169</v>
      </c>
      <c r="H44" s="5">
        <f>Table6[[#This Row],[mM]]*Q$1*Q$3*1000</f>
        <v>9.7584012516062337</v>
      </c>
      <c r="I44" s="4">
        <v>530</v>
      </c>
      <c r="J44">
        <f>Table6[[#This Row],[sCOD (mg/L)]]*Q$4</f>
        <v>42400</v>
      </c>
      <c r="K44" s="5">
        <f>Table6[[#This Row],[sCOD (mg/L, accouting for dilution)]]*Q$1*Q$3</f>
        <v>84.8</v>
      </c>
      <c r="L44" s="5">
        <f>(Table6[[#This Row],[mM]]/Table6[[#This Row],[sCOD (mg/L, accouting for dilution)]])*1000</f>
        <v>0.11507548645762068</v>
      </c>
    </row>
    <row r="45" spans="1:12" x14ac:dyDescent="0.2">
      <c r="A45">
        <v>2</v>
      </c>
      <c r="B45" t="s">
        <v>38</v>
      </c>
      <c r="C45" t="s">
        <v>42</v>
      </c>
      <c r="D45" t="s">
        <v>40</v>
      </c>
      <c r="E45" t="s">
        <v>9</v>
      </c>
      <c r="F45" t="s">
        <v>2</v>
      </c>
      <c r="G45" s="5">
        <v>7.1363113037096086</v>
      </c>
      <c r="H45" s="5">
        <f>Table6[[#This Row],[mM]]*Q$1*Q$3*1000</f>
        <v>14.272622607419217</v>
      </c>
      <c r="I45" s="4">
        <v>608</v>
      </c>
      <c r="J45">
        <f>Table6[[#This Row],[sCOD (mg/L)]]*Q$4</f>
        <v>48640</v>
      </c>
      <c r="K45" s="5">
        <f>Table6[[#This Row],[sCOD (mg/L, accouting for dilution)]]*Q$1*Q$3</f>
        <v>97.28</v>
      </c>
      <c r="L45" s="5">
        <f>(Table6[[#This Row],[mM]]/Table6[[#This Row],[sCOD (mg/L, accouting for dilution)]])*1000</f>
        <v>0.14671692647429296</v>
      </c>
    </row>
    <row r="46" spans="1:12" x14ac:dyDescent="0.2">
      <c r="A46">
        <v>3</v>
      </c>
      <c r="B46" t="s">
        <v>38</v>
      </c>
      <c r="C46" t="s">
        <v>42</v>
      </c>
      <c r="D46" t="s">
        <v>40</v>
      </c>
      <c r="E46" t="s">
        <v>11</v>
      </c>
      <c r="F46" t="s">
        <v>2</v>
      </c>
      <c r="G46" s="5">
        <v>8.9499462603416529</v>
      </c>
      <c r="H46" s="5">
        <f>Table6[[#This Row],[mM]]*Q$1*Q$3*1000</f>
        <v>17.899892520683306</v>
      </c>
      <c r="I46" s="4">
        <v>589</v>
      </c>
      <c r="J46">
        <f>Table6[[#This Row],[sCOD (mg/L)]]*Q$4</f>
        <v>47120</v>
      </c>
      <c r="K46" s="5">
        <f>Table6[[#This Row],[sCOD (mg/L, accouting for dilution)]]*Q$1*Q$3</f>
        <v>94.24</v>
      </c>
      <c r="L46" s="5">
        <f>(Table6[[#This Row],[mM]]/Table6[[#This Row],[sCOD (mg/L, accouting for dilution)]])*1000</f>
        <v>0.18993943676446631</v>
      </c>
    </row>
    <row r="47" spans="1:12" x14ac:dyDescent="0.2">
      <c r="A47">
        <v>4</v>
      </c>
      <c r="B47" t="s">
        <v>38</v>
      </c>
      <c r="C47" t="s">
        <v>42</v>
      </c>
      <c r="D47" t="s">
        <v>40</v>
      </c>
      <c r="E47" t="s">
        <v>14</v>
      </c>
      <c r="F47" t="s">
        <v>2</v>
      </c>
      <c r="G47" s="5">
        <v>4.1674715175086581</v>
      </c>
      <c r="H47" s="5">
        <f>Table6[[#This Row],[mM]]*Q$1*Q$3*1000</f>
        <v>8.3349430350173161</v>
      </c>
      <c r="I47" s="4">
        <v>502</v>
      </c>
      <c r="J47">
        <f>Table6[[#This Row],[sCOD (mg/L)]]*Q$4</f>
        <v>40160</v>
      </c>
      <c r="K47" s="5">
        <f>Table6[[#This Row],[sCOD (mg/L, accouting for dilution)]]*Q$1*Q$3</f>
        <v>80.320000000000007</v>
      </c>
      <c r="L47" s="5">
        <f>(Table6[[#This Row],[mM]]/Table6[[#This Row],[sCOD (mg/L, accouting for dilution)]])*1000</f>
        <v>0.10377170113318372</v>
      </c>
    </row>
    <row r="48" spans="1:12" x14ac:dyDescent="0.2">
      <c r="A48">
        <v>5</v>
      </c>
      <c r="B48" t="s">
        <v>38</v>
      </c>
      <c r="C48" t="s">
        <v>42</v>
      </c>
      <c r="D48" t="s">
        <v>40</v>
      </c>
      <c r="E48" t="s">
        <v>17</v>
      </c>
      <c r="F48" t="s">
        <v>2</v>
      </c>
      <c r="G48" s="5">
        <v>6.3464423652579018</v>
      </c>
      <c r="H48" s="5">
        <f>Table6[[#This Row],[mM]]*Q$1*Q$3*1000</f>
        <v>12.692884730515804</v>
      </c>
      <c r="I48" s="4">
        <v>593</v>
      </c>
      <c r="J48">
        <f>Table6[[#This Row],[sCOD (mg/L)]]*Q$4</f>
        <v>47440</v>
      </c>
      <c r="K48" s="5">
        <f>Table6[[#This Row],[sCOD (mg/L, accouting for dilution)]]*Q$1*Q$3</f>
        <v>94.88</v>
      </c>
      <c r="L48" s="5">
        <f>(Table6[[#This Row],[mM]]/Table6[[#This Row],[sCOD (mg/L, accouting for dilution)]])*1000</f>
        <v>0.13377829606361513</v>
      </c>
    </row>
    <row r="49" spans="1:12" x14ac:dyDescent="0.2">
      <c r="A49">
        <v>6</v>
      </c>
      <c r="B49" t="s">
        <v>38</v>
      </c>
      <c r="C49" t="s">
        <v>42</v>
      </c>
      <c r="D49" t="s">
        <v>40</v>
      </c>
      <c r="E49" t="s">
        <v>19</v>
      </c>
      <c r="F49" t="s">
        <v>2</v>
      </c>
      <c r="G49" s="5">
        <v>5.3819651013249956</v>
      </c>
      <c r="H49" s="5">
        <f>Table6[[#This Row],[mM]]*Q$1*Q$3*1000</f>
        <v>10.763930202649991</v>
      </c>
      <c r="I49" s="4">
        <v>589</v>
      </c>
      <c r="J49">
        <f>Table6[[#This Row],[sCOD (mg/L)]]*Q$4</f>
        <v>47120</v>
      </c>
      <c r="K49" s="5">
        <f>Table6[[#This Row],[sCOD (mg/L, accouting for dilution)]]*Q$1*Q$3</f>
        <v>94.24</v>
      </c>
      <c r="L49" s="5">
        <f>(Table6[[#This Row],[mM]]/Table6[[#This Row],[sCOD (mg/L, accouting for dilution)]])*1000</f>
        <v>0.1142182746461162</v>
      </c>
    </row>
    <row r="50" spans="1:12" x14ac:dyDescent="0.2">
      <c r="A50">
        <v>7</v>
      </c>
      <c r="B50" t="s">
        <v>38</v>
      </c>
      <c r="C50" t="s">
        <v>42</v>
      </c>
      <c r="D50" t="s">
        <v>40</v>
      </c>
      <c r="E50" t="s">
        <v>21</v>
      </c>
      <c r="F50" t="s">
        <v>2</v>
      </c>
      <c r="G50" s="5">
        <v>17.192880502377552</v>
      </c>
      <c r="H50" s="5">
        <f>Table6[[#This Row],[mM]]*Q$1*Q$3*1000</f>
        <v>34.385761004755103</v>
      </c>
      <c r="I50" s="4">
        <v>560</v>
      </c>
      <c r="J50">
        <f>Table6[[#This Row],[sCOD (mg/L)]]*Q$4</f>
        <v>44800</v>
      </c>
      <c r="K50" s="5">
        <f>Table6[[#This Row],[sCOD (mg/L, accouting for dilution)]]*Q$1*Q$3</f>
        <v>89.600000000000009</v>
      </c>
      <c r="L50" s="5">
        <f>(Table6[[#This Row],[mM]]/Table6[[#This Row],[sCOD (mg/L, accouting for dilution)]])*1000</f>
        <v>0.38376965407092745</v>
      </c>
    </row>
    <row r="51" spans="1:12" x14ac:dyDescent="0.2">
      <c r="A51">
        <v>8</v>
      </c>
      <c r="B51" t="s">
        <v>38</v>
      </c>
      <c r="C51" t="s">
        <v>42</v>
      </c>
      <c r="D51" t="s">
        <v>40</v>
      </c>
      <c r="E51" t="s">
        <v>22</v>
      </c>
      <c r="F51" t="s">
        <v>2</v>
      </c>
      <c r="G51" s="5">
        <v>19.128048262190095</v>
      </c>
      <c r="H51" s="5">
        <f>Table6[[#This Row],[mM]]*Q$1*Q$3*1000</f>
        <v>38.25609652438019</v>
      </c>
      <c r="I51" s="4">
        <v>594</v>
      </c>
      <c r="J51">
        <f>Table6[[#This Row],[sCOD (mg/L)]]*Q$4</f>
        <v>47520</v>
      </c>
      <c r="K51" s="5">
        <f>Table6[[#This Row],[sCOD (mg/L, accouting for dilution)]]*Q$1*Q$3</f>
        <v>95.04</v>
      </c>
      <c r="L51" s="5">
        <f>(Table6[[#This Row],[mM]]/Table6[[#This Row],[sCOD (mg/L, accouting for dilution)]])*1000</f>
        <v>0.40252626814373094</v>
      </c>
    </row>
    <row r="52" spans="1:12" x14ac:dyDescent="0.2">
      <c r="A52">
        <v>9</v>
      </c>
      <c r="B52" t="s">
        <v>38</v>
      </c>
      <c r="C52" t="s">
        <v>42</v>
      </c>
      <c r="D52" t="s">
        <v>40</v>
      </c>
      <c r="E52" t="s">
        <v>23</v>
      </c>
      <c r="F52" t="s">
        <v>2</v>
      </c>
      <c r="G52" s="5">
        <v>5.9878941230381777</v>
      </c>
      <c r="H52" s="5">
        <f>Table6[[#This Row],[mM]]*Q$1*Q$3*1000</f>
        <v>11.975788246076355</v>
      </c>
      <c r="I52" s="4">
        <v>610</v>
      </c>
      <c r="J52">
        <f>Table6[[#This Row],[sCOD (mg/L)]]*Q$4</f>
        <v>48800</v>
      </c>
      <c r="K52" s="5">
        <f>Table6[[#This Row],[sCOD (mg/L, accouting for dilution)]]*Q$1*Q$3</f>
        <v>97.600000000000009</v>
      </c>
      <c r="L52" s="5">
        <f>(Table6[[#This Row],[mM]]/Table6[[#This Row],[sCOD (mg/L, accouting for dilution)]])*1000</f>
        <v>0.12270274842291347</v>
      </c>
    </row>
    <row r="53" spans="1:12" x14ac:dyDescent="0.2">
      <c r="A53">
        <v>1</v>
      </c>
      <c r="B53" t="s">
        <v>38</v>
      </c>
      <c r="C53" t="s">
        <v>42</v>
      </c>
      <c r="D53" t="s">
        <v>40</v>
      </c>
      <c r="E53" t="s">
        <v>6</v>
      </c>
      <c r="F53" t="s">
        <v>1</v>
      </c>
      <c r="G53" s="5">
        <v>3.2474845035652833</v>
      </c>
      <c r="H53" s="5">
        <f>Table6[[#This Row],[mM]]*Q$1*Q$3*1000</f>
        <v>6.4949690071305666</v>
      </c>
      <c r="I53" s="4">
        <v>530</v>
      </c>
      <c r="J53">
        <f>Table6[[#This Row],[sCOD (mg/L)]]*Q$4</f>
        <v>42400</v>
      </c>
      <c r="K53" s="5">
        <f>Table6[[#This Row],[sCOD (mg/L, accouting for dilution)]]*Q$1*Q$3</f>
        <v>84.8</v>
      </c>
      <c r="L53" s="5">
        <f>(Table6[[#This Row],[mM]]/Table6[[#This Row],[sCOD (mg/L, accouting for dilution)]])*1000</f>
        <v>7.6591615650124609E-2</v>
      </c>
    </row>
    <row r="54" spans="1:12" x14ac:dyDescent="0.2">
      <c r="A54">
        <v>2</v>
      </c>
      <c r="B54" t="s">
        <v>38</v>
      </c>
      <c r="C54" t="s">
        <v>42</v>
      </c>
      <c r="D54" t="s">
        <v>40</v>
      </c>
      <c r="E54" t="s">
        <v>9</v>
      </c>
      <c r="F54" t="s">
        <v>1</v>
      </c>
      <c r="G54" s="5">
        <v>4.9362254591084511</v>
      </c>
      <c r="H54" s="5">
        <f>Table6[[#This Row],[mM]]*Q$1*Q$3*1000</f>
        <v>9.872450918216904</v>
      </c>
      <c r="I54" s="4">
        <v>608</v>
      </c>
      <c r="J54">
        <f>Table6[[#This Row],[sCOD (mg/L)]]*Q$4</f>
        <v>48640</v>
      </c>
      <c r="K54" s="5">
        <f>Table6[[#This Row],[sCOD (mg/L, accouting for dilution)]]*Q$1*Q$3</f>
        <v>97.28</v>
      </c>
      <c r="L54" s="5">
        <f>(Table6[[#This Row],[mM]]/Table6[[#This Row],[sCOD (mg/L, accouting for dilution)]])*1000</f>
        <v>0.10148489841917045</v>
      </c>
    </row>
    <row r="55" spans="1:12" x14ac:dyDescent="0.2">
      <c r="A55">
        <v>3</v>
      </c>
      <c r="B55" t="s">
        <v>38</v>
      </c>
      <c r="C55" t="s">
        <v>42</v>
      </c>
      <c r="D55" t="s">
        <v>40</v>
      </c>
      <c r="E55" t="s">
        <v>11</v>
      </c>
      <c r="F55" t="s">
        <v>1</v>
      </c>
      <c r="G55" s="5">
        <v>5.3574778745772074</v>
      </c>
      <c r="H55" s="5">
        <f>Table6[[#This Row],[mM]]*Q$1*Q$3*1000</f>
        <v>10.714955749154415</v>
      </c>
      <c r="I55" s="4">
        <v>589</v>
      </c>
      <c r="J55">
        <f>Table6[[#This Row],[sCOD (mg/L)]]*Q$4</f>
        <v>47120</v>
      </c>
      <c r="K55" s="5">
        <f>Table6[[#This Row],[sCOD (mg/L, accouting for dilution)]]*Q$1*Q$3</f>
        <v>94.24</v>
      </c>
      <c r="L55" s="5">
        <f>(Table6[[#This Row],[mM]]/Table6[[#This Row],[sCOD (mg/L, accouting for dilution)]])*1000</f>
        <v>0.11369859665910882</v>
      </c>
    </row>
    <row r="56" spans="1:12" x14ac:dyDescent="0.2">
      <c r="A56">
        <v>4</v>
      </c>
      <c r="B56" t="s">
        <v>38</v>
      </c>
      <c r="C56" t="s">
        <v>42</v>
      </c>
      <c r="D56" t="s">
        <v>40</v>
      </c>
      <c r="E56" t="s">
        <v>14</v>
      </c>
      <c r="F56" t="s">
        <v>1</v>
      </c>
      <c r="G56" s="5">
        <v>4.6510178422851345</v>
      </c>
      <c r="H56" s="5">
        <f>Table6[[#This Row],[mM]]*Q$1*Q$3*1000</f>
        <v>9.302035684570269</v>
      </c>
      <c r="I56" s="4">
        <v>502</v>
      </c>
      <c r="J56">
        <f>Table6[[#This Row],[sCOD (mg/L)]]*Q$4</f>
        <v>40160</v>
      </c>
      <c r="K56" s="5">
        <f>Table6[[#This Row],[sCOD (mg/L, accouting for dilution)]]*Q$1*Q$3</f>
        <v>80.320000000000007</v>
      </c>
      <c r="L56" s="5">
        <f>(Table6[[#This Row],[mM]]/Table6[[#This Row],[sCOD (mg/L, accouting for dilution)]])*1000</f>
        <v>0.11581219726805614</v>
      </c>
    </row>
    <row r="57" spans="1:12" x14ac:dyDescent="0.2">
      <c r="A57">
        <v>5</v>
      </c>
      <c r="B57" t="s">
        <v>38</v>
      </c>
      <c r="C57" t="s">
        <v>42</v>
      </c>
      <c r="D57" t="s">
        <v>40</v>
      </c>
      <c r="E57" t="s">
        <v>17</v>
      </c>
      <c r="F57" t="s">
        <v>1</v>
      </c>
      <c r="G57" s="5">
        <v>4.8562898103467536</v>
      </c>
      <c r="H57" s="5">
        <f>Table6[[#This Row],[mM]]*Q$1*Q$3*1000</f>
        <v>9.7125796206935071</v>
      </c>
      <c r="I57" s="4">
        <v>593</v>
      </c>
      <c r="J57">
        <f>Table6[[#This Row],[sCOD (mg/L)]]*Q$4</f>
        <v>47440</v>
      </c>
      <c r="K57" s="5">
        <f>Table6[[#This Row],[sCOD (mg/L, accouting for dilution)]]*Q$1*Q$3</f>
        <v>94.88</v>
      </c>
      <c r="L57" s="5">
        <f>(Table6[[#This Row],[mM]]/Table6[[#This Row],[sCOD (mg/L, accouting for dilution)]])*1000</f>
        <v>0.10236698588420644</v>
      </c>
    </row>
    <row r="58" spans="1:12" x14ac:dyDescent="0.2">
      <c r="A58">
        <v>6</v>
      </c>
      <c r="B58" t="s">
        <v>38</v>
      </c>
      <c r="C58" t="s">
        <v>42</v>
      </c>
      <c r="D58" t="s">
        <v>40</v>
      </c>
      <c r="E58" t="s">
        <v>19</v>
      </c>
      <c r="F58" t="s">
        <v>1</v>
      </c>
      <c r="G58" s="5">
        <v>3.1639940948903127</v>
      </c>
      <c r="H58" s="5">
        <f>Table6[[#This Row],[mM]]*Q$1*Q$3*1000</f>
        <v>6.3279881897806254</v>
      </c>
      <c r="I58" s="4">
        <v>589</v>
      </c>
      <c r="J58">
        <f>Table6[[#This Row],[sCOD (mg/L)]]*Q$4</f>
        <v>47120</v>
      </c>
      <c r="K58" s="5">
        <f>Table6[[#This Row],[sCOD (mg/L, accouting for dilution)]]*Q$1*Q$3</f>
        <v>94.24</v>
      </c>
      <c r="L58" s="5">
        <f>(Table6[[#This Row],[mM]]/Table6[[#This Row],[sCOD (mg/L, accouting for dilution)]])*1000</f>
        <v>6.7147582658962493E-2</v>
      </c>
    </row>
    <row r="59" spans="1:12" x14ac:dyDescent="0.2">
      <c r="A59">
        <v>7</v>
      </c>
      <c r="B59" t="s">
        <v>38</v>
      </c>
      <c r="C59" t="s">
        <v>42</v>
      </c>
      <c r="D59" t="s">
        <v>40</v>
      </c>
      <c r="E59" t="s">
        <v>21</v>
      </c>
      <c r="F59" t="s">
        <v>1</v>
      </c>
      <c r="G59" s="5">
        <v>4.330294121856836</v>
      </c>
      <c r="H59" s="5">
        <f>Table6[[#This Row],[mM]]*Q$1*Q$3*1000</f>
        <v>8.6605882437136721</v>
      </c>
      <c r="I59" s="4">
        <v>560</v>
      </c>
      <c r="J59">
        <f>Table6[[#This Row],[sCOD (mg/L)]]*Q$4</f>
        <v>44800</v>
      </c>
      <c r="K59" s="5">
        <f>Table6[[#This Row],[sCOD (mg/L, accouting for dilution)]]*Q$1*Q$3</f>
        <v>89.600000000000009</v>
      </c>
      <c r="L59" s="5">
        <f>(Table6[[#This Row],[mM]]/Table6[[#This Row],[sCOD (mg/L, accouting for dilution)]])*1000</f>
        <v>9.6658350934304374E-2</v>
      </c>
    </row>
    <row r="60" spans="1:12" x14ac:dyDescent="0.2">
      <c r="A60">
        <v>8</v>
      </c>
      <c r="B60" t="s">
        <v>38</v>
      </c>
      <c r="C60" t="s">
        <v>42</v>
      </c>
      <c r="D60" t="s">
        <v>40</v>
      </c>
      <c r="E60" t="s">
        <v>22</v>
      </c>
      <c r="F60" t="s">
        <v>1</v>
      </c>
      <c r="G60" s="5">
        <v>15.782392664089262</v>
      </c>
      <c r="H60" s="5">
        <f>Table6[[#This Row],[mM]]*Q$1*Q$3*1000</f>
        <v>31.564785328178523</v>
      </c>
      <c r="I60" s="4">
        <v>594</v>
      </c>
      <c r="J60">
        <f>Table6[[#This Row],[sCOD (mg/L)]]*Q$4</f>
        <v>47520</v>
      </c>
      <c r="K60" s="5">
        <f>Table6[[#This Row],[sCOD (mg/L, accouting for dilution)]]*Q$1*Q$3</f>
        <v>95.04</v>
      </c>
      <c r="L60" s="5">
        <f>(Table6[[#This Row],[mM]]/Table6[[#This Row],[sCOD (mg/L, accouting for dilution)]])*1000</f>
        <v>0.33212105774598616</v>
      </c>
    </row>
    <row r="61" spans="1:12" x14ac:dyDescent="0.2">
      <c r="A61">
        <v>9</v>
      </c>
      <c r="B61" t="s">
        <v>38</v>
      </c>
      <c r="C61" t="s">
        <v>42</v>
      </c>
      <c r="D61" t="s">
        <v>40</v>
      </c>
      <c r="E61" t="s">
        <v>23</v>
      </c>
      <c r="F61" t="s">
        <v>1</v>
      </c>
      <c r="G61" s="5">
        <v>12.093275477266813</v>
      </c>
      <c r="H61" s="5">
        <f>Table6[[#This Row],[mM]]*Q$1*Q$3*1000</f>
        <v>24.186550954533626</v>
      </c>
      <c r="I61" s="4">
        <v>610</v>
      </c>
      <c r="J61">
        <f>Table6[[#This Row],[sCOD (mg/L)]]*Q$4</f>
        <v>48800</v>
      </c>
      <c r="K61" s="5">
        <f>Table6[[#This Row],[sCOD (mg/L, accouting for dilution)]]*Q$1*Q$3</f>
        <v>97.600000000000009</v>
      </c>
      <c r="L61" s="5">
        <f>(Table6[[#This Row],[mM]]/Table6[[#This Row],[sCOD (mg/L, accouting for dilution)]])*1000</f>
        <v>0.24781302207513961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Dirks (Student)</dc:creator>
  <cp:lastModifiedBy>Moiseyenko, Anastasiya (Ana)</cp:lastModifiedBy>
  <dcterms:created xsi:type="dcterms:W3CDTF">2025-07-16T20:23:56Z</dcterms:created>
  <dcterms:modified xsi:type="dcterms:W3CDTF">2025-08-18T19:58:57Z</dcterms:modified>
</cp:coreProperties>
</file>