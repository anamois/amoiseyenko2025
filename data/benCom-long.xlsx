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PD communities/benCom - long/"/>
    </mc:Choice>
  </mc:AlternateContent>
  <xr:revisionPtr revIDLastSave="2449" documentId="8_{39D4D147-4429-574F-BC45-06994F36C64B}" xr6:coauthVersionLast="47" xr6:coauthVersionMax="47" xr10:uidLastSave="{A6DAD663-C031-1A44-A2ED-8C54F57A9083}"/>
  <bookViews>
    <workbookView xWindow="0" yWindow="500" windowWidth="23400" windowHeight="17500" activeTab="6" xr2:uid="{12F844C0-1965-3644-8791-3B6E59A50BDF}"/>
  </bookViews>
  <sheets>
    <sheet name="Cohort 1" sheetId="1" r:id="rId1"/>
    <sheet name="Cohort 2" sheetId="2" r:id="rId2"/>
    <sheet name="Beam" sheetId="3" r:id="rId3"/>
    <sheet name="Beam_steps" sheetId="4" r:id="rId4"/>
    <sheet name="Pole" sheetId="5" r:id="rId5"/>
    <sheet name="Wirehang" sheetId="6" r:id="rId6"/>
    <sheet name="Sticker" sheetId="7" r:id="rId7"/>
    <sheet name="Hindlimb" sheetId="8" r:id="rId8"/>
    <sheet name="Fecal_output" sheetId="9" r:id="rId9"/>
    <sheet name="Fecal_score" sheetId="10" r:id="rId10"/>
    <sheet name="Water_content" sheetId="11" r:id="rId11"/>
    <sheet name="Carmine_red" sheetId="12" r:id="rId12"/>
    <sheet name="Bead_exp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J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8" i="2"/>
  <c r="I30" i="2"/>
  <c r="F31" i="2"/>
  <c r="F32" i="2"/>
  <c r="F33" i="2"/>
  <c r="J33" i="2" s="1"/>
  <c r="F34" i="2"/>
  <c r="J34" i="2" s="1"/>
  <c r="F35" i="2"/>
  <c r="F36" i="2"/>
  <c r="J36" i="2" s="1"/>
  <c r="F37" i="2"/>
  <c r="F38" i="2"/>
  <c r="F39" i="2"/>
  <c r="J39" i="2" s="1"/>
  <c r="F40" i="2"/>
  <c r="F41" i="2"/>
  <c r="F42" i="2"/>
  <c r="F43" i="2"/>
  <c r="F44" i="2"/>
  <c r="F45" i="2"/>
  <c r="J45" i="2" s="1"/>
  <c r="F46" i="2"/>
  <c r="F48" i="2"/>
  <c r="F30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4" i="2"/>
  <c r="E6" i="2"/>
  <c r="Q60" i="2"/>
  <c r="Q72" i="2"/>
  <c r="U73" i="2"/>
  <c r="U64" i="2"/>
  <c r="N19" i="2"/>
  <c r="N7" i="2"/>
  <c r="N8" i="2"/>
  <c r="N9" i="2"/>
  <c r="N10" i="2"/>
  <c r="N11" i="2"/>
  <c r="N12" i="2"/>
  <c r="N13" i="2"/>
  <c r="N14" i="2"/>
  <c r="N15" i="2"/>
  <c r="N16" i="2"/>
  <c r="N17" i="2"/>
  <c r="N18" i="2"/>
  <c r="N20" i="2"/>
  <c r="N21" i="2"/>
  <c r="N22" i="2"/>
  <c r="N24" i="2"/>
  <c r="N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4" i="2"/>
  <c r="H6" i="2"/>
  <c r="M76" i="2"/>
  <c r="M72" i="2"/>
  <c r="M58" i="2"/>
  <c r="L76" i="2"/>
  <c r="L68" i="2"/>
  <c r="L58" i="2"/>
  <c r="K73" i="2"/>
  <c r="K58" i="2"/>
  <c r="U59" i="2"/>
  <c r="U60" i="2"/>
  <c r="U61" i="2"/>
  <c r="U62" i="2"/>
  <c r="U63" i="2"/>
  <c r="U65" i="2"/>
  <c r="U67" i="2"/>
  <c r="U69" i="2"/>
  <c r="U70" i="2"/>
  <c r="U71" i="2"/>
  <c r="U72" i="2"/>
  <c r="U74" i="2"/>
  <c r="U76" i="2"/>
  <c r="U58" i="2"/>
  <c r="T59" i="2"/>
  <c r="T60" i="2"/>
  <c r="T61" i="2"/>
  <c r="T62" i="2"/>
  <c r="T63" i="2"/>
  <c r="T64" i="2"/>
  <c r="T65" i="2"/>
  <c r="T67" i="2"/>
  <c r="T69" i="2"/>
  <c r="T70" i="2"/>
  <c r="T71" i="2"/>
  <c r="T72" i="2"/>
  <c r="T73" i="2"/>
  <c r="T74" i="2"/>
  <c r="T76" i="2"/>
  <c r="T58" i="2"/>
  <c r="K76" i="2"/>
  <c r="L74" i="2"/>
  <c r="K74" i="2"/>
  <c r="L73" i="2"/>
  <c r="M73" i="2"/>
  <c r="L72" i="2"/>
  <c r="K72" i="2"/>
  <c r="L71" i="2"/>
  <c r="K71" i="2"/>
  <c r="L70" i="2"/>
  <c r="K70" i="2"/>
  <c r="L69" i="2"/>
  <c r="K69" i="2"/>
  <c r="M69" i="2" s="1"/>
  <c r="K68" i="2"/>
  <c r="L67" i="2"/>
  <c r="K67" i="2"/>
  <c r="L66" i="2"/>
  <c r="K66" i="2"/>
  <c r="L65" i="2"/>
  <c r="K65" i="2"/>
  <c r="L63" i="2"/>
  <c r="K63" i="2"/>
  <c r="L62" i="2"/>
  <c r="K62" i="2"/>
  <c r="L61" i="2"/>
  <c r="K61" i="2"/>
  <c r="L60" i="2"/>
  <c r="K60" i="2"/>
  <c r="L59" i="2"/>
  <c r="K59" i="2"/>
  <c r="M59" i="2" s="1"/>
  <c r="Q59" i="2"/>
  <c r="Q61" i="2"/>
  <c r="Q62" i="2"/>
  <c r="Q63" i="2"/>
  <c r="Q64" i="2"/>
  <c r="Q65" i="2"/>
  <c r="Q66" i="2"/>
  <c r="Q67" i="2"/>
  <c r="Q68" i="2"/>
  <c r="Q69" i="2"/>
  <c r="Q70" i="2"/>
  <c r="Q71" i="2"/>
  <c r="Q73" i="2"/>
  <c r="Q74" i="2"/>
  <c r="Q76" i="2"/>
  <c r="Q58" i="2"/>
  <c r="P59" i="2"/>
  <c r="P60" i="2"/>
  <c r="P61" i="2"/>
  <c r="P62" i="2"/>
  <c r="P63" i="2"/>
  <c r="P64" i="2"/>
  <c r="P65" i="2"/>
  <c r="P66" i="2"/>
  <c r="P67" i="2"/>
  <c r="P70" i="2"/>
  <c r="P71" i="2"/>
  <c r="P72" i="2"/>
  <c r="P73" i="2"/>
  <c r="P74" i="2"/>
  <c r="P76" i="2"/>
  <c r="P58" i="2"/>
  <c r="U89" i="1"/>
  <c r="U82" i="1"/>
  <c r="U75" i="1"/>
  <c r="Q89" i="1"/>
  <c r="Q80" i="1"/>
  <c r="Q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69" i="1"/>
  <c r="K8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69" i="1"/>
  <c r="T80" i="1"/>
  <c r="T89" i="1"/>
  <c r="P89" i="1"/>
  <c r="N2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J54" i="1" s="1"/>
  <c r="I55" i="1"/>
  <c r="I56" i="1"/>
  <c r="I57" i="1"/>
  <c r="I58" i="1"/>
  <c r="I38" i="1"/>
  <c r="F39" i="1"/>
  <c r="F40" i="1"/>
  <c r="F41" i="1"/>
  <c r="J41" i="1" s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J57" i="1" s="1"/>
  <c r="F58" i="1"/>
  <c r="J58" i="1" s="1"/>
  <c r="F38" i="1"/>
  <c r="J48" i="2" l="1"/>
  <c r="J46" i="2"/>
  <c r="J43" i="2"/>
  <c r="J44" i="2"/>
  <c r="J42" i="2"/>
  <c r="J41" i="2"/>
  <c r="J40" i="2"/>
  <c r="J38" i="2"/>
  <c r="J37" i="2"/>
  <c r="J35" i="2"/>
  <c r="J32" i="2"/>
  <c r="M67" i="2"/>
  <c r="M66" i="2"/>
  <c r="M62" i="2"/>
  <c r="M61" i="2"/>
  <c r="M68" i="2"/>
  <c r="M63" i="2"/>
  <c r="M65" i="2"/>
  <c r="M70" i="2"/>
  <c r="M74" i="2"/>
  <c r="M60" i="2"/>
  <c r="M71" i="2"/>
  <c r="J56" i="1"/>
  <c r="J53" i="1"/>
  <c r="J52" i="1"/>
  <c r="J51" i="1"/>
  <c r="J50" i="1"/>
  <c r="J49" i="1"/>
  <c r="J48" i="1"/>
  <c r="J46" i="1"/>
  <c r="J45" i="1"/>
  <c r="J44" i="1"/>
  <c r="J43" i="1"/>
  <c r="J42" i="1"/>
  <c r="J40" i="1"/>
  <c r="J38" i="1"/>
  <c r="J55" i="1"/>
  <c r="J47" i="1"/>
  <c r="J39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T70" i="1" l="1"/>
  <c r="U70" i="1" s="1"/>
  <c r="T71" i="1"/>
  <c r="U71" i="1" s="1"/>
  <c r="T72" i="1"/>
  <c r="U72" i="1" s="1"/>
  <c r="T73" i="1"/>
  <c r="U73" i="1" s="1"/>
  <c r="T74" i="1"/>
  <c r="U74" i="1" s="1"/>
  <c r="T75" i="1"/>
  <c r="T76" i="1"/>
  <c r="U76" i="1" s="1"/>
  <c r="T77" i="1"/>
  <c r="U77" i="1" s="1"/>
  <c r="T78" i="1"/>
  <c r="U78" i="1" s="1"/>
  <c r="U80" i="1"/>
  <c r="T81" i="1"/>
  <c r="U81" i="1" s="1"/>
  <c r="T82" i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69" i="1"/>
  <c r="U69" i="1" s="1"/>
  <c r="Q81" i="1"/>
  <c r="Q83" i="1"/>
  <c r="Q87" i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Q77" i="1"/>
  <c r="P78" i="1"/>
  <c r="Q78" i="1" s="1"/>
  <c r="Q79" i="1"/>
  <c r="P80" i="1"/>
  <c r="P82" i="1"/>
  <c r="Q82" i="1" s="1"/>
  <c r="P83" i="1"/>
  <c r="P84" i="1"/>
  <c r="Q84" i="1" s="1"/>
  <c r="P85" i="1"/>
  <c r="Q85" i="1" s="1"/>
  <c r="P86" i="1"/>
  <c r="Q86" i="1" s="1"/>
  <c r="P88" i="1"/>
  <c r="Q88" i="1" s="1"/>
  <c r="P69" i="1"/>
</calcChain>
</file>

<file path=xl/sharedStrings.xml><?xml version="1.0" encoding="utf-8"?>
<sst xmlns="http://schemas.openxmlformats.org/spreadsheetml/2006/main" count="1093" uniqueCount="71">
  <si>
    <t>20 wk</t>
  </si>
  <si>
    <t>Animal #</t>
  </si>
  <si>
    <t>Genotype</t>
  </si>
  <si>
    <t>Beam</t>
  </si>
  <si>
    <t xml:space="preserve">Pole </t>
  </si>
  <si>
    <t>Wire Hang</t>
  </si>
  <si>
    <t xml:space="preserve">Sticker </t>
  </si>
  <si>
    <t>Hindlimb</t>
  </si>
  <si>
    <t>Weight (g)</t>
  </si>
  <si>
    <t>Trial 1</t>
  </si>
  <si>
    <t>Avg</t>
  </si>
  <si>
    <t>Total 1</t>
  </si>
  <si>
    <t>Total 2</t>
  </si>
  <si>
    <t>Avg Total</t>
  </si>
  <si>
    <t>WT</t>
  </si>
  <si>
    <t>ASO-CNTRL</t>
  </si>
  <si>
    <t>Steps</t>
  </si>
  <si>
    <t>Slips</t>
  </si>
  <si>
    <t>Errors/Step</t>
  </si>
  <si>
    <t>GI tests</t>
  </si>
  <si>
    <t>morning</t>
  </si>
  <si>
    <t>21 wk</t>
  </si>
  <si>
    <t>8 hr max</t>
  </si>
  <si>
    <t>1 hr max</t>
  </si>
  <si>
    <t>Carmine red</t>
  </si>
  <si>
    <t>Bead expulsion</t>
  </si>
  <si>
    <t>15 min</t>
  </si>
  <si>
    <t>30 min</t>
  </si>
  <si>
    <t>45 min</t>
  </si>
  <si>
    <t>60 min</t>
  </si>
  <si>
    <t>fecal score</t>
  </si>
  <si>
    <t>tube weight (mg)</t>
  </si>
  <si>
    <t xml:space="preserve">tube + wet </t>
  </si>
  <si>
    <t>tube + dry</t>
  </si>
  <si>
    <t>wet pellet</t>
  </si>
  <si>
    <t>dry pellet</t>
  </si>
  <si>
    <t>% water</t>
  </si>
  <si>
    <t>start time</t>
  </si>
  <si>
    <t>end time</t>
  </si>
  <si>
    <t>time</t>
  </si>
  <si>
    <t>transit time (min)</t>
  </si>
  <si>
    <t>time to expulse (min)</t>
  </si>
  <si>
    <t>benCom gavage starting at 12wks</t>
  </si>
  <si>
    <t>ASO-benCom</t>
  </si>
  <si>
    <t>max</t>
  </si>
  <si>
    <t>sliding - elim</t>
  </si>
  <si>
    <t>didn't insert properly</t>
  </si>
  <si>
    <t>aso?</t>
  </si>
  <si>
    <t>*carmine red done in B204G on cart, no hood on*</t>
  </si>
  <si>
    <t>FD 12/3</t>
  </si>
  <si>
    <t>too jumpy</t>
  </si>
  <si>
    <t>Testing 12/3/24</t>
  </si>
  <si>
    <t>not inserted well</t>
  </si>
  <si>
    <t>wt?</t>
  </si>
  <si>
    <t>Cohort</t>
  </si>
  <si>
    <t>Microbiome</t>
  </si>
  <si>
    <t>Cage</t>
  </si>
  <si>
    <t>ID</t>
  </si>
  <si>
    <t>Trial1</t>
  </si>
  <si>
    <t>Trial2</t>
  </si>
  <si>
    <t>bC</t>
  </si>
  <si>
    <t>ASO</t>
  </si>
  <si>
    <t>SPF</t>
  </si>
  <si>
    <t>Steps_Trial1</t>
  </si>
  <si>
    <t>Steps_Trial2</t>
  </si>
  <si>
    <t>Slips_Trial1</t>
  </si>
  <si>
    <t>Slips_Trial2</t>
  </si>
  <si>
    <t>Trial15</t>
  </si>
  <si>
    <t>Trial30</t>
  </si>
  <si>
    <t>Trial45</t>
  </si>
  <si>
    <t>Trial60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</si>
</sst>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164" fontId="1" fillId="0" borderId="0" xfId="0" applyNumberFormat="1" applyFont="1"/>
    <xf numFmtId="20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Alignment="1">
      <alignment wrapText="1"/>
    </xf>
    <xf numFmtId="0" fontId="3" fillId="0" borderId="0" xfId="0" applyFont="1"/>
    <xf numFmtId="20" fontId="3" fillId="0" borderId="0" xfId="0" applyNumberFormat="1" applyFont="1"/>
    <xf numFmtId="14" fontId="1" fillId="2" borderId="0" xfId="0" applyNumberFormat="1" applyFont="1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20" fontId="0" fillId="0" borderId="0" xfId="0" applyNumberFormat="1"/>
    <xf numFmtId="0" fontId="0" fillId="12" borderId="0" xfId="0" applyFill="1"/>
    <xf numFmtId="0" fontId="1" fillId="15" borderId="0" xfId="0" applyFont="1" applyFill="1"/>
    <xf numFmtId="0" fontId="0" fillId="16" borderId="0" xfId="0" applyFill="1"/>
    <xf numFmtId="0" fontId="2" fillId="17" borderId="0" xfId="0" applyFont="1" applyFill="1"/>
    <xf numFmtId="0" fontId="1" fillId="17" borderId="0" xfId="0" applyFont="1" applyFill="1"/>
    <xf numFmtId="0" fontId="1" fillId="14" borderId="0" xfId="0" applyFont="1" applyFill="1"/>
    <xf numFmtId="20" fontId="0" fillId="14" borderId="0" xfId="0" applyNumberFormat="1" applyFill="1"/>
    <xf numFmtId="2" fontId="1" fillId="14" borderId="0" xfId="0" applyNumberFormat="1" applyFont="1" applyFill="1"/>
    <xf numFmtId="0" fontId="0" fillId="0" borderId="0" xfId="0" applyFill="1"/>
    <xf numFmtId="0" fontId="1" fillId="0" borderId="0" xfId="0" applyFont="1" applyFill="1"/>
    <xf numFmtId="2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C8D8-4BC1-2C49-A4E1-F05A9FA272DD}">
  <dimension ref="A1:U93"/>
  <sheetViews>
    <sheetView topLeftCell="F59" zoomScale="110" zoomScaleNormal="110" workbookViewId="0">
      <selection activeCell="U69" sqref="U69:U89"/>
    </sheetView>
  </sheetViews>
  <sheetFormatPr baseColWidth="10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3" t="s">
        <v>1</v>
      </c>
      <c r="B4" s="3" t="s">
        <v>2</v>
      </c>
      <c r="C4" s="3" t="s">
        <v>3</v>
      </c>
      <c r="D4" s="1"/>
      <c r="E4" s="1"/>
      <c r="F4" s="3" t="s">
        <v>4</v>
      </c>
      <c r="G4" s="1"/>
      <c r="H4" s="1"/>
      <c r="I4" s="3" t="s">
        <v>5</v>
      </c>
      <c r="J4" s="1"/>
      <c r="K4" s="1"/>
      <c r="L4" s="3" t="s">
        <v>6</v>
      </c>
      <c r="M4" s="1"/>
      <c r="N4" s="1"/>
      <c r="O4" s="3" t="s">
        <v>7</v>
      </c>
      <c r="P4" s="3" t="s">
        <v>8</v>
      </c>
      <c r="Q4" s="1"/>
      <c r="R4" s="1"/>
      <c r="S4" s="1"/>
      <c r="T4" s="1"/>
      <c r="U4" s="1"/>
    </row>
    <row r="5" spans="1:21" x14ac:dyDescent="0.2">
      <c r="A5" s="19">
        <v>45622</v>
      </c>
      <c r="B5" s="4"/>
      <c r="C5" s="4" t="s">
        <v>9</v>
      </c>
      <c r="D5" s="4">
        <v>2</v>
      </c>
      <c r="E5" s="5" t="s">
        <v>10</v>
      </c>
      <c r="F5" s="4" t="s">
        <v>11</v>
      </c>
      <c r="G5" s="4" t="s">
        <v>12</v>
      </c>
      <c r="H5" s="5" t="s">
        <v>13</v>
      </c>
      <c r="I5" s="4">
        <v>1</v>
      </c>
      <c r="J5" s="4">
        <v>2</v>
      </c>
      <c r="K5" s="5" t="s">
        <v>10</v>
      </c>
      <c r="L5" s="4">
        <v>1</v>
      </c>
      <c r="M5" s="4">
        <v>2</v>
      </c>
      <c r="N5" s="5" t="s">
        <v>10</v>
      </c>
      <c r="O5" s="4"/>
      <c r="P5" s="4"/>
      <c r="Q5" s="1"/>
      <c r="R5" s="1"/>
      <c r="S5" s="1"/>
      <c r="T5" s="1"/>
      <c r="U5" s="1"/>
    </row>
    <row r="6" spans="1:21" x14ac:dyDescent="0.2">
      <c r="A6" s="10">
        <v>2328</v>
      </c>
      <c r="B6" s="6" t="s">
        <v>14</v>
      </c>
      <c r="C6" s="1">
        <v>4.5</v>
      </c>
      <c r="D6" s="1">
        <v>3.13</v>
      </c>
      <c r="E6">
        <f>AVERAGE(C6:D6)</f>
        <v>3.8149999999999999</v>
      </c>
      <c r="F6" s="1">
        <v>8.27</v>
      </c>
      <c r="G6" s="1">
        <v>7.69</v>
      </c>
      <c r="H6" s="1">
        <f>AVERAGE(F6:G6)</f>
        <v>7.98</v>
      </c>
      <c r="I6" s="1">
        <v>60</v>
      </c>
      <c r="J6" s="1"/>
      <c r="K6" s="1">
        <f>AVERAGE(I6:J6)</f>
        <v>60</v>
      </c>
      <c r="L6" s="1">
        <v>1.71</v>
      </c>
      <c r="M6" s="1">
        <v>1.95</v>
      </c>
      <c r="N6" s="1">
        <f>AVERAGE(L6:M6)</f>
        <v>1.83</v>
      </c>
      <c r="O6" s="1">
        <v>1</v>
      </c>
      <c r="P6" s="1"/>
      <c r="Q6" s="1"/>
      <c r="R6" s="1"/>
      <c r="S6" s="1"/>
      <c r="T6" s="1"/>
      <c r="U6" s="1"/>
    </row>
    <row r="7" spans="1:21" x14ac:dyDescent="0.2">
      <c r="A7" s="10">
        <v>2330</v>
      </c>
      <c r="B7" s="7"/>
      <c r="C7" s="1">
        <v>4.38</v>
      </c>
      <c r="D7" s="1">
        <v>3.6</v>
      </c>
      <c r="E7">
        <f t="shared" ref="E7:E26" si="0">AVERAGE(C7:D7)</f>
        <v>3.99</v>
      </c>
      <c r="F7" s="1">
        <v>6.98</v>
      </c>
      <c r="G7" s="1">
        <v>6.04</v>
      </c>
      <c r="H7" s="1">
        <f t="shared" ref="H7:H26" si="1">AVERAGE(F7:G7)</f>
        <v>6.51</v>
      </c>
      <c r="I7" s="1">
        <v>7.16</v>
      </c>
      <c r="J7" s="1">
        <v>5.47</v>
      </c>
      <c r="K7" s="1">
        <f t="shared" ref="K7:K26" si="2">AVERAGE(I7:J7)</f>
        <v>6.3149999999999995</v>
      </c>
      <c r="L7" s="1">
        <v>2.65</v>
      </c>
      <c r="M7" s="1">
        <v>1.76</v>
      </c>
      <c r="N7" s="1">
        <f t="shared" ref="N7:N26" si="3">AVERAGE(L7:M7)</f>
        <v>2.2050000000000001</v>
      </c>
      <c r="O7" s="1">
        <v>2</v>
      </c>
      <c r="P7" s="1"/>
      <c r="Q7" s="1" t="s">
        <v>47</v>
      </c>
      <c r="R7" s="1"/>
      <c r="S7" s="1"/>
      <c r="T7" s="1"/>
      <c r="U7" s="1"/>
    </row>
    <row r="8" spans="1:21" x14ac:dyDescent="0.2">
      <c r="A8" s="11">
        <v>2332</v>
      </c>
      <c r="B8" s="7"/>
      <c r="C8" s="1">
        <v>5.8</v>
      </c>
      <c r="D8" s="1">
        <v>3.88</v>
      </c>
      <c r="E8">
        <f t="shared" si="0"/>
        <v>4.84</v>
      </c>
      <c r="F8" s="1">
        <v>8.66</v>
      </c>
      <c r="G8" s="1">
        <v>5.17</v>
      </c>
      <c r="H8" s="1">
        <f t="shared" si="1"/>
        <v>6.915</v>
      </c>
      <c r="I8" s="1">
        <v>38.92</v>
      </c>
      <c r="J8" s="1"/>
      <c r="K8" s="1">
        <f t="shared" si="2"/>
        <v>38.92</v>
      </c>
      <c r="L8" s="1">
        <v>2.97</v>
      </c>
      <c r="M8" s="1">
        <v>1.95</v>
      </c>
      <c r="N8" s="1">
        <f t="shared" si="3"/>
        <v>2.46</v>
      </c>
      <c r="O8" s="1">
        <v>0.5</v>
      </c>
      <c r="P8" s="1"/>
      <c r="Q8" s="1"/>
      <c r="R8" s="1"/>
      <c r="S8" s="1"/>
      <c r="T8" s="1"/>
      <c r="U8" s="1"/>
    </row>
    <row r="9" spans="1:21" x14ac:dyDescent="0.2">
      <c r="A9" s="11">
        <v>2337</v>
      </c>
      <c r="B9" s="7"/>
      <c r="C9" s="1">
        <v>3.47</v>
      </c>
      <c r="D9" s="1">
        <v>2.35</v>
      </c>
      <c r="E9">
        <f t="shared" si="0"/>
        <v>2.91</v>
      </c>
      <c r="F9" s="1">
        <v>5.29</v>
      </c>
      <c r="G9" s="1">
        <v>4.37</v>
      </c>
      <c r="H9" s="1">
        <f t="shared" si="1"/>
        <v>4.83</v>
      </c>
      <c r="I9" s="1">
        <v>60</v>
      </c>
      <c r="J9" s="1"/>
      <c r="K9" s="1">
        <f t="shared" si="2"/>
        <v>60</v>
      </c>
      <c r="L9" s="1">
        <v>1.1100000000000001</v>
      </c>
      <c r="M9" s="1">
        <v>1.21</v>
      </c>
      <c r="N9" s="1">
        <f t="shared" si="3"/>
        <v>1.1600000000000001</v>
      </c>
      <c r="O9" s="1">
        <v>0</v>
      </c>
      <c r="P9" s="1"/>
      <c r="Q9" s="1"/>
      <c r="R9" s="1"/>
      <c r="S9" s="1"/>
      <c r="T9" s="1"/>
      <c r="U9" s="1"/>
    </row>
    <row r="10" spans="1:21" x14ac:dyDescent="0.2">
      <c r="A10" s="11">
        <v>2338</v>
      </c>
      <c r="B10" s="7"/>
      <c r="C10" s="1">
        <v>2.5299999999999998</v>
      </c>
      <c r="D10" s="1">
        <v>2.5</v>
      </c>
      <c r="E10">
        <f t="shared" si="0"/>
        <v>2.5149999999999997</v>
      </c>
      <c r="F10" s="1">
        <v>6.62</v>
      </c>
      <c r="G10" s="1">
        <v>6.22</v>
      </c>
      <c r="H10" s="1">
        <f t="shared" si="1"/>
        <v>6.42</v>
      </c>
      <c r="I10" s="1">
        <v>60</v>
      </c>
      <c r="J10" s="1"/>
      <c r="K10" s="1">
        <f t="shared" si="2"/>
        <v>60</v>
      </c>
      <c r="L10" s="1">
        <v>1.1499999999999999</v>
      </c>
      <c r="M10" s="1">
        <v>1</v>
      </c>
      <c r="N10" s="1">
        <f t="shared" si="3"/>
        <v>1.075</v>
      </c>
      <c r="O10" s="1">
        <v>0</v>
      </c>
      <c r="P10" s="1"/>
      <c r="Q10" s="1"/>
      <c r="R10" s="1"/>
      <c r="S10" s="1"/>
      <c r="T10" s="1"/>
      <c r="U10" s="1"/>
    </row>
    <row r="11" spans="1:21" x14ac:dyDescent="0.2">
      <c r="A11" s="10">
        <v>2348</v>
      </c>
      <c r="B11" s="7"/>
      <c r="C11" s="1">
        <v>7.02</v>
      </c>
      <c r="D11" s="1">
        <v>5.29</v>
      </c>
      <c r="E11">
        <f t="shared" si="0"/>
        <v>6.1549999999999994</v>
      </c>
      <c r="F11" s="1">
        <v>6.31</v>
      </c>
      <c r="G11" s="1">
        <v>4.6900000000000004</v>
      </c>
      <c r="H11" s="1">
        <f t="shared" si="1"/>
        <v>5.5</v>
      </c>
      <c r="I11" s="1">
        <v>19.36</v>
      </c>
      <c r="J11" s="1"/>
      <c r="K11" s="1">
        <f t="shared" si="2"/>
        <v>19.36</v>
      </c>
      <c r="L11" s="1">
        <v>2.4700000000000002</v>
      </c>
      <c r="M11" s="1">
        <v>1.2</v>
      </c>
      <c r="N11" s="1">
        <f t="shared" si="3"/>
        <v>1.835</v>
      </c>
      <c r="O11" s="1">
        <v>0</v>
      </c>
      <c r="P11" s="1"/>
      <c r="Q11" s="1" t="s">
        <v>47</v>
      </c>
      <c r="R11" s="1"/>
      <c r="S11" s="1"/>
      <c r="T11" s="1"/>
      <c r="U11" s="1"/>
    </row>
    <row r="12" spans="1:21" x14ac:dyDescent="0.2">
      <c r="A12" s="10">
        <v>2349</v>
      </c>
      <c r="B12" s="7"/>
      <c r="C12" s="1">
        <v>3.28</v>
      </c>
      <c r="D12" s="1">
        <v>2.16</v>
      </c>
      <c r="E12">
        <f t="shared" si="0"/>
        <v>2.7199999999999998</v>
      </c>
      <c r="F12" s="1">
        <v>5.26</v>
      </c>
      <c r="G12" s="1">
        <v>4.09</v>
      </c>
      <c r="H12" s="1">
        <f t="shared" si="1"/>
        <v>4.6749999999999998</v>
      </c>
      <c r="I12" s="1">
        <v>50.23</v>
      </c>
      <c r="J12" s="1"/>
      <c r="K12" s="1">
        <f t="shared" si="2"/>
        <v>50.23</v>
      </c>
      <c r="L12" s="1">
        <v>1.4</v>
      </c>
      <c r="M12" s="1">
        <v>1.83</v>
      </c>
      <c r="N12" s="1">
        <f t="shared" si="3"/>
        <v>1.615</v>
      </c>
      <c r="O12" s="1">
        <v>1</v>
      </c>
      <c r="P12" s="1"/>
      <c r="Q12" s="1"/>
      <c r="R12" s="1"/>
      <c r="S12" s="1"/>
      <c r="T12" s="1"/>
      <c r="U12" s="1"/>
    </row>
    <row r="13" spans="1:21" x14ac:dyDescent="0.2">
      <c r="A13" s="11">
        <v>2334</v>
      </c>
      <c r="B13" s="9" t="s">
        <v>15</v>
      </c>
      <c r="C13" s="1">
        <v>12.18</v>
      </c>
      <c r="D13" s="1">
        <v>10.96</v>
      </c>
      <c r="E13">
        <f t="shared" si="0"/>
        <v>11.57</v>
      </c>
      <c r="F13" s="1">
        <v>28.72</v>
      </c>
      <c r="G13" s="1">
        <v>21.07</v>
      </c>
      <c r="H13" s="1">
        <f t="shared" si="1"/>
        <v>24.895</v>
      </c>
      <c r="I13" s="1">
        <v>9.73</v>
      </c>
      <c r="J13" s="1">
        <v>9.3000000000000007</v>
      </c>
      <c r="K13" s="1">
        <f t="shared" si="2"/>
        <v>9.5150000000000006</v>
      </c>
      <c r="L13" s="1">
        <v>2.25</v>
      </c>
      <c r="M13" s="1">
        <v>2.4500000000000002</v>
      </c>
      <c r="N13" s="1">
        <f t="shared" si="3"/>
        <v>2.35</v>
      </c>
      <c r="O13" s="1">
        <v>1.5</v>
      </c>
      <c r="P13" s="1"/>
      <c r="Q13" s="1"/>
      <c r="R13" s="1"/>
      <c r="S13" s="1"/>
      <c r="T13" s="1"/>
      <c r="U13" s="1"/>
    </row>
    <row r="14" spans="1:21" x14ac:dyDescent="0.2">
      <c r="A14" s="11">
        <v>2335</v>
      </c>
      <c r="B14" s="27"/>
      <c r="C14" s="1">
        <v>7.11</v>
      </c>
      <c r="D14" s="1">
        <v>12.38</v>
      </c>
      <c r="E14">
        <f t="shared" si="0"/>
        <v>9.745000000000001</v>
      </c>
      <c r="F14" s="1">
        <v>9.49</v>
      </c>
      <c r="G14" s="1">
        <v>9.01</v>
      </c>
      <c r="H14" s="1">
        <f t="shared" si="1"/>
        <v>9.25</v>
      </c>
      <c r="I14" s="1">
        <v>12.59</v>
      </c>
      <c r="J14" s="1">
        <v>7.58</v>
      </c>
      <c r="K14" s="1">
        <f t="shared" si="2"/>
        <v>10.085000000000001</v>
      </c>
      <c r="L14" s="1">
        <v>1.87</v>
      </c>
      <c r="M14" s="1">
        <v>2.2999999999999998</v>
      </c>
      <c r="N14" s="1">
        <f t="shared" si="3"/>
        <v>2.085</v>
      </c>
      <c r="O14" s="1">
        <v>1.5</v>
      </c>
      <c r="P14" s="1"/>
      <c r="Q14" s="1"/>
      <c r="R14" s="1"/>
      <c r="S14" s="1"/>
      <c r="T14" s="1"/>
      <c r="U14" s="1"/>
    </row>
    <row r="15" spans="1:21" x14ac:dyDescent="0.2">
      <c r="A15" s="11">
        <v>2336</v>
      </c>
      <c r="B15" s="22"/>
      <c r="C15" s="1">
        <v>6.92</v>
      </c>
      <c r="D15" s="1">
        <v>7.56</v>
      </c>
      <c r="E15">
        <f t="shared" si="0"/>
        <v>7.24</v>
      </c>
      <c r="F15" s="1">
        <v>6.82</v>
      </c>
      <c r="G15" s="1">
        <v>5.45</v>
      </c>
      <c r="H15" s="1">
        <f t="shared" si="1"/>
        <v>6.1349999999999998</v>
      </c>
      <c r="I15" s="1">
        <v>10.41</v>
      </c>
      <c r="J15" s="1">
        <v>9</v>
      </c>
      <c r="K15" s="1">
        <f t="shared" si="2"/>
        <v>9.7050000000000001</v>
      </c>
      <c r="L15" s="1">
        <v>2.6</v>
      </c>
      <c r="M15" s="1">
        <v>2.66</v>
      </c>
      <c r="N15" s="1">
        <f t="shared" si="3"/>
        <v>2.63</v>
      </c>
      <c r="O15" s="1">
        <v>2</v>
      </c>
      <c r="P15" s="1"/>
      <c r="Q15" s="1"/>
      <c r="R15" s="1"/>
      <c r="S15" s="1"/>
      <c r="T15" s="1"/>
      <c r="U15" s="1"/>
    </row>
    <row r="16" spans="1:21" x14ac:dyDescent="0.2">
      <c r="A16" s="11">
        <v>2333</v>
      </c>
      <c r="B16" s="28"/>
      <c r="C16" s="1">
        <v>7.87</v>
      </c>
      <c r="D16" s="1">
        <v>5.15</v>
      </c>
      <c r="E16">
        <f t="shared" si="0"/>
        <v>6.51</v>
      </c>
      <c r="F16" s="1">
        <v>6.15</v>
      </c>
      <c r="G16" s="1">
        <v>6.95</v>
      </c>
      <c r="H16" s="1">
        <f t="shared" si="1"/>
        <v>6.5500000000000007</v>
      </c>
      <c r="I16" s="1">
        <v>8.59</v>
      </c>
      <c r="J16" s="1">
        <v>1.35</v>
      </c>
      <c r="K16" s="1">
        <f t="shared" si="2"/>
        <v>4.97</v>
      </c>
      <c r="L16" s="1">
        <v>3.4</v>
      </c>
      <c r="M16" s="1">
        <v>2.75</v>
      </c>
      <c r="N16" s="1">
        <f t="shared" si="3"/>
        <v>3.0750000000000002</v>
      </c>
      <c r="O16" s="1">
        <v>2</v>
      </c>
      <c r="P16" s="1"/>
      <c r="Q16" s="1"/>
      <c r="R16" s="1"/>
      <c r="S16" s="1"/>
      <c r="T16" s="1"/>
      <c r="U16" s="1"/>
    </row>
    <row r="17" spans="1:21" x14ac:dyDescent="0.2">
      <c r="A17" s="10">
        <v>2350</v>
      </c>
      <c r="B17" s="9"/>
      <c r="C17" s="1">
        <v>11.44</v>
      </c>
      <c r="D17" s="1">
        <v>6.22</v>
      </c>
      <c r="E17">
        <f t="shared" si="0"/>
        <v>8.83</v>
      </c>
      <c r="F17" s="1">
        <v>9.74</v>
      </c>
      <c r="G17" s="1">
        <v>9.0399999999999991</v>
      </c>
      <c r="H17" s="1">
        <f t="shared" si="1"/>
        <v>9.39</v>
      </c>
      <c r="I17" s="1">
        <v>6.42</v>
      </c>
      <c r="J17" s="1">
        <v>8.2899999999999991</v>
      </c>
      <c r="K17" s="1">
        <f t="shared" si="2"/>
        <v>7.3549999999999995</v>
      </c>
      <c r="L17" s="1">
        <v>6.34</v>
      </c>
      <c r="M17" s="1">
        <v>9.3000000000000007</v>
      </c>
      <c r="N17" s="1">
        <f t="shared" si="3"/>
        <v>7.82</v>
      </c>
      <c r="O17" s="1">
        <v>3</v>
      </c>
      <c r="P17" s="1"/>
      <c r="Q17" s="1"/>
      <c r="R17" s="1"/>
      <c r="S17" s="1"/>
      <c r="T17" s="1"/>
      <c r="U17" s="1"/>
    </row>
    <row r="18" spans="1:21" x14ac:dyDescent="0.2">
      <c r="A18" s="10">
        <v>2351</v>
      </c>
      <c r="B18" s="9"/>
      <c r="C18" s="1">
        <v>5.7</v>
      </c>
      <c r="D18" s="1">
        <v>6.47</v>
      </c>
      <c r="E18">
        <f t="shared" si="0"/>
        <v>6.085</v>
      </c>
      <c r="F18" s="1">
        <v>7.26</v>
      </c>
      <c r="G18" s="1">
        <v>6.44</v>
      </c>
      <c r="H18" s="1">
        <f t="shared" si="1"/>
        <v>6.85</v>
      </c>
      <c r="I18" s="1">
        <v>12.95</v>
      </c>
      <c r="J18" s="1">
        <v>6.6</v>
      </c>
      <c r="K18" s="1">
        <f t="shared" si="2"/>
        <v>9.7749999999999986</v>
      </c>
      <c r="L18" s="1">
        <v>2.85</v>
      </c>
      <c r="M18" s="1">
        <v>2.08</v>
      </c>
      <c r="N18" s="1">
        <f t="shared" si="3"/>
        <v>2.4649999999999999</v>
      </c>
      <c r="O18" s="1">
        <v>2.5</v>
      </c>
      <c r="P18" s="1"/>
      <c r="Q18" s="1"/>
      <c r="R18" s="1"/>
      <c r="S18" s="1"/>
      <c r="T18" s="1"/>
      <c r="U18" s="1"/>
    </row>
    <row r="19" spans="1:21" x14ac:dyDescent="0.2">
      <c r="A19" s="11">
        <v>2327</v>
      </c>
      <c r="B19" s="12" t="s">
        <v>43</v>
      </c>
      <c r="C19" s="1">
        <v>8.64</v>
      </c>
      <c r="D19" s="1">
        <v>3.92</v>
      </c>
      <c r="E19">
        <f t="shared" si="0"/>
        <v>6.28</v>
      </c>
      <c r="F19" s="1">
        <v>5.45</v>
      </c>
      <c r="G19" s="1">
        <v>3.17</v>
      </c>
      <c r="H19" s="1">
        <f t="shared" si="1"/>
        <v>4.3100000000000005</v>
      </c>
      <c r="I19" s="1">
        <v>12.9</v>
      </c>
      <c r="J19" s="1">
        <v>7.22</v>
      </c>
      <c r="K19" s="1">
        <f t="shared" si="2"/>
        <v>10.06</v>
      </c>
      <c r="L19" s="1">
        <v>1.77</v>
      </c>
      <c r="M19" s="1">
        <v>3.22</v>
      </c>
      <c r="N19" s="1">
        <f t="shared" si="3"/>
        <v>2.4950000000000001</v>
      </c>
      <c r="O19" s="1">
        <v>1</v>
      </c>
      <c r="P19" s="1"/>
      <c r="Q19" s="1"/>
      <c r="R19" s="1"/>
      <c r="S19" s="1"/>
      <c r="T19" s="1"/>
      <c r="U19" s="1"/>
    </row>
    <row r="20" spans="1:21" x14ac:dyDescent="0.2">
      <c r="A20" s="11">
        <v>2329</v>
      </c>
      <c r="B20" s="25"/>
      <c r="C20" s="1">
        <v>13.93</v>
      </c>
      <c r="D20" s="1">
        <v>13.56</v>
      </c>
      <c r="E20">
        <f t="shared" si="0"/>
        <v>13.745000000000001</v>
      </c>
      <c r="F20" s="1">
        <v>10.65</v>
      </c>
      <c r="G20" s="1">
        <v>8.85</v>
      </c>
      <c r="H20" s="1">
        <f t="shared" si="1"/>
        <v>9.75</v>
      </c>
      <c r="I20" s="1">
        <v>8.7100000000000009</v>
      </c>
      <c r="J20" s="1">
        <v>8.3000000000000007</v>
      </c>
      <c r="K20" s="1">
        <f t="shared" si="2"/>
        <v>8.5050000000000008</v>
      </c>
      <c r="L20" s="1">
        <v>1.46</v>
      </c>
      <c r="M20" s="1">
        <v>2.68</v>
      </c>
      <c r="N20" s="1">
        <f t="shared" si="3"/>
        <v>2.0700000000000003</v>
      </c>
      <c r="O20" s="1">
        <v>2.5</v>
      </c>
      <c r="P20" s="1"/>
      <c r="Q20" s="1"/>
      <c r="R20" s="1"/>
      <c r="S20" s="1"/>
      <c r="T20" s="1"/>
      <c r="U20" s="1"/>
    </row>
    <row r="21" spans="1:21" x14ac:dyDescent="0.2">
      <c r="A21" s="20">
        <v>2331</v>
      </c>
      <c r="B21" s="25"/>
      <c r="C21" s="1">
        <v>6.59</v>
      </c>
      <c r="D21" s="1">
        <v>5.95</v>
      </c>
      <c r="E21">
        <f t="shared" si="0"/>
        <v>6.27</v>
      </c>
      <c r="F21" s="1">
        <v>7.49</v>
      </c>
      <c r="G21" s="1">
        <v>8.76</v>
      </c>
      <c r="H21" s="1">
        <f t="shared" si="1"/>
        <v>8.125</v>
      </c>
      <c r="I21" s="1">
        <v>10.26</v>
      </c>
      <c r="J21" s="1">
        <v>12.6</v>
      </c>
      <c r="K21" s="1">
        <f t="shared" si="2"/>
        <v>11.43</v>
      </c>
      <c r="L21" s="1">
        <v>2.4</v>
      </c>
      <c r="M21" s="1">
        <v>1.53</v>
      </c>
      <c r="N21" s="1">
        <f t="shared" si="3"/>
        <v>1.9649999999999999</v>
      </c>
      <c r="O21" s="1">
        <v>3</v>
      </c>
      <c r="P21" s="1"/>
      <c r="Q21" s="1"/>
      <c r="R21" s="1"/>
      <c r="S21" s="1"/>
      <c r="T21" s="1"/>
      <c r="U21" s="1"/>
    </row>
    <row r="22" spans="1:21" x14ac:dyDescent="0.2">
      <c r="A22" s="21">
        <v>2339</v>
      </c>
      <c r="B22" s="25"/>
      <c r="C22" s="1">
        <v>7.47</v>
      </c>
      <c r="D22" s="1">
        <v>5.5</v>
      </c>
      <c r="E22">
        <f t="shared" si="0"/>
        <v>6.4849999999999994</v>
      </c>
      <c r="F22" s="1">
        <v>5.62</v>
      </c>
      <c r="G22" s="1">
        <v>3.82</v>
      </c>
      <c r="H22" s="1">
        <f t="shared" si="1"/>
        <v>4.72</v>
      </c>
      <c r="I22" s="1">
        <v>22.61</v>
      </c>
      <c r="J22" s="1">
        <v>60</v>
      </c>
      <c r="K22" s="1">
        <f t="shared" si="2"/>
        <v>41.305</v>
      </c>
      <c r="L22" s="1">
        <v>2.62</v>
      </c>
      <c r="M22" s="1">
        <v>1.55</v>
      </c>
      <c r="N22" s="1">
        <f t="shared" si="3"/>
        <v>2.085</v>
      </c>
      <c r="O22" s="1">
        <v>0</v>
      </c>
      <c r="P22" s="1"/>
      <c r="Q22" s="1"/>
      <c r="R22" s="1"/>
      <c r="S22" s="1"/>
      <c r="T22" s="1"/>
      <c r="U22" s="1"/>
    </row>
    <row r="23" spans="1:21" x14ac:dyDescent="0.2">
      <c r="A23" s="21">
        <v>2341</v>
      </c>
      <c r="B23" s="26"/>
      <c r="C23" s="1">
        <v>12.6</v>
      </c>
      <c r="D23" s="1">
        <v>7.49</v>
      </c>
      <c r="E23">
        <f t="shared" si="0"/>
        <v>10.045</v>
      </c>
      <c r="F23" s="1">
        <v>12.3</v>
      </c>
      <c r="G23" s="1" t="s">
        <v>45</v>
      </c>
      <c r="H23" s="1">
        <f t="shared" si="1"/>
        <v>12.3</v>
      </c>
      <c r="I23" s="1">
        <v>12.94</v>
      </c>
      <c r="J23" s="1">
        <v>9.6</v>
      </c>
      <c r="K23" s="1">
        <f t="shared" si="2"/>
        <v>11.27</v>
      </c>
      <c r="L23" s="1">
        <v>2.88</v>
      </c>
      <c r="M23" s="1">
        <v>1.92</v>
      </c>
      <c r="N23" s="1">
        <f t="shared" si="3"/>
        <v>2.4</v>
      </c>
      <c r="O23" s="1">
        <v>2.5</v>
      </c>
      <c r="P23" s="1"/>
      <c r="Q23" s="1"/>
      <c r="R23" s="1"/>
      <c r="S23" s="1"/>
      <c r="T23" s="1"/>
      <c r="U23" s="1"/>
    </row>
    <row r="24" spans="1:21" x14ac:dyDescent="0.2">
      <c r="A24" s="20">
        <v>2345</v>
      </c>
      <c r="B24" s="25"/>
      <c r="C24" s="1">
        <v>10.98</v>
      </c>
      <c r="D24" s="1">
        <v>7.6</v>
      </c>
      <c r="E24">
        <f t="shared" si="0"/>
        <v>9.2899999999999991</v>
      </c>
      <c r="F24" s="1">
        <v>11.08</v>
      </c>
      <c r="G24" s="1">
        <v>8.35</v>
      </c>
      <c r="H24" s="1">
        <f t="shared" si="1"/>
        <v>9.7149999999999999</v>
      </c>
      <c r="I24" s="1">
        <v>15.91</v>
      </c>
      <c r="J24" s="1">
        <v>14.91</v>
      </c>
      <c r="K24" s="1">
        <f t="shared" si="2"/>
        <v>15.41</v>
      </c>
      <c r="L24" s="1">
        <v>2.0299999999999998</v>
      </c>
      <c r="M24" s="1">
        <v>1.48</v>
      </c>
      <c r="N24" s="1">
        <f t="shared" si="3"/>
        <v>1.7549999999999999</v>
      </c>
      <c r="O24" s="1">
        <v>0</v>
      </c>
      <c r="P24" s="1"/>
      <c r="Q24" s="1"/>
      <c r="R24" s="1"/>
      <c r="S24" s="1"/>
      <c r="T24" s="1"/>
      <c r="U24" s="1"/>
    </row>
    <row r="25" spans="1:21" x14ac:dyDescent="0.2">
      <c r="A25" s="24">
        <v>2346</v>
      </c>
      <c r="B25" s="25"/>
      <c r="C25" s="1">
        <v>6.54</v>
      </c>
      <c r="D25" s="1">
        <v>5.13</v>
      </c>
      <c r="E25">
        <f t="shared" si="0"/>
        <v>5.835</v>
      </c>
      <c r="F25" s="1">
        <v>5.17</v>
      </c>
      <c r="G25" s="1">
        <v>4.9800000000000004</v>
      </c>
      <c r="H25" s="1">
        <f t="shared" si="1"/>
        <v>5.0750000000000002</v>
      </c>
      <c r="I25" s="1">
        <v>6.25</v>
      </c>
      <c r="J25" s="1">
        <v>18</v>
      </c>
      <c r="K25" s="1">
        <f t="shared" si="2"/>
        <v>12.125</v>
      </c>
      <c r="L25" s="1">
        <v>3.66</v>
      </c>
      <c r="M25" s="1">
        <v>3.3</v>
      </c>
      <c r="N25" s="1">
        <f t="shared" si="3"/>
        <v>3.48</v>
      </c>
      <c r="O25" s="1">
        <v>1</v>
      </c>
      <c r="P25" s="1"/>
      <c r="Q25" s="1"/>
      <c r="R25" s="1"/>
      <c r="S25" s="1"/>
      <c r="T25" s="1"/>
      <c r="U25" s="1"/>
    </row>
    <row r="26" spans="1:21" x14ac:dyDescent="0.2">
      <c r="A26" s="20">
        <v>2347</v>
      </c>
      <c r="B26" s="12"/>
      <c r="C26" s="1">
        <v>4.2</v>
      </c>
      <c r="D26" s="1">
        <v>1.88</v>
      </c>
      <c r="E26">
        <f t="shared" si="0"/>
        <v>3.04</v>
      </c>
      <c r="F26" s="1">
        <v>5.19</v>
      </c>
      <c r="G26" s="1">
        <v>4.57</v>
      </c>
      <c r="H26" s="1">
        <f t="shared" si="1"/>
        <v>4.8800000000000008</v>
      </c>
      <c r="I26" s="1">
        <v>12.44</v>
      </c>
      <c r="J26" s="1">
        <v>9.9600000000000009</v>
      </c>
      <c r="K26" s="1">
        <f t="shared" si="2"/>
        <v>11.2</v>
      </c>
      <c r="L26" s="1">
        <v>2.1</v>
      </c>
      <c r="M26" s="1">
        <v>1.1000000000000001</v>
      </c>
      <c r="N26" s="1">
        <f t="shared" si="3"/>
        <v>1.6</v>
      </c>
      <c r="O26" s="1">
        <v>1</v>
      </c>
      <c r="P26" s="1"/>
      <c r="Q26" s="1"/>
      <c r="R26" s="1"/>
      <c r="S26" s="1"/>
      <c r="T26" s="1"/>
      <c r="U26" s="1"/>
    </row>
    <row r="27" spans="1:21" x14ac:dyDescent="0.2">
      <c r="A27" s="1"/>
      <c r="B27" s="1"/>
      <c r="C27" s="1"/>
      <c r="D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"/>
      <c r="C28" s="1"/>
      <c r="D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"/>
      <c r="B29" s="1"/>
      <c r="C29" s="1"/>
      <c r="D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"/>
      <c r="C30" s="1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B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"/>
      <c r="B35" s="1"/>
      <c r="C35" s="1"/>
      <c r="D35" s="1" t="s">
        <v>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"/>
      <c r="C36" s="1"/>
      <c r="D36" s="3" t="s">
        <v>16</v>
      </c>
      <c r="E36" s="1"/>
      <c r="F36" s="1"/>
      <c r="G36" s="3" t="s">
        <v>17</v>
      </c>
      <c r="H36" s="1"/>
      <c r="I36" s="1"/>
      <c r="J36" s="3" t="s">
        <v>18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"/>
      <c r="C37" s="1"/>
      <c r="D37" s="4">
        <v>1</v>
      </c>
      <c r="E37" s="4">
        <v>2</v>
      </c>
      <c r="F37" s="5" t="s">
        <v>10</v>
      </c>
      <c r="G37" s="4">
        <v>1</v>
      </c>
      <c r="H37" s="4">
        <v>2</v>
      </c>
      <c r="I37" s="5" t="s">
        <v>10</v>
      </c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0">
        <v>2328</v>
      </c>
      <c r="C38" s="6" t="s">
        <v>14</v>
      </c>
      <c r="D38" s="1">
        <v>11</v>
      </c>
      <c r="E38" s="1">
        <v>10</v>
      </c>
      <c r="F38" s="1">
        <f>AVERAGE(D38:E38)</f>
        <v>10.5</v>
      </c>
      <c r="G38" s="1">
        <v>3</v>
      </c>
      <c r="H38" s="1">
        <v>2</v>
      </c>
      <c r="I38" s="1">
        <f>AVERAGE(G38:H38)</f>
        <v>2.5</v>
      </c>
      <c r="J38" s="1">
        <f>I38/F38</f>
        <v>0.23809523809523808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0">
        <v>2330</v>
      </c>
      <c r="C39" s="7"/>
      <c r="D39" s="1">
        <v>11</v>
      </c>
      <c r="E39" s="1">
        <v>11</v>
      </c>
      <c r="F39" s="1">
        <f t="shared" ref="F39:F58" si="4">AVERAGE(D39:E39)</f>
        <v>11</v>
      </c>
      <c r="G39" s="1">
        <v>1</v>
      </c>
      <c r="H39" s="1">
        <v>4</v>
      </c>
      <c r="I39" s="1">
        <f t="shared" ref="I39:I58" si="5">AVERAGE(G39:H39)</f>
        <v>2.5</v>
      </c>
      <c r="J39" s="1">
        <f t="shared" ref="J39:J58" si="6">I39/F39</f>
        <v>0.22727272727272727</v>
      </c>
      <c r="K39" s="1" t="s">
        <v>47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1">
        <v>2332</v>
      </c>
      <c r="C40" s="7"/>
      <c r="D40" s="1">
        <v>11</v>
      </c>
      <c r="E40" s="1">
        <v>11</v>
      </c>
      <c r="F40" s="1">
        <f t="shared" si="4"/>
        <v>11</v>
      </c>
      <c r="G40" s="1">
        <v>5</v>
      </c>
      <c r="H40" s="1">
        <v>3</v>
      </c>
      <c r="I40" s="1">
        <f t="shared" si="5"/>
        <v>4</v>
      </c>
      <c r="J40" s="1">
        <f t="shared" si="6"/>
        <v>0.36363636363636365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1">
        <v>2337</v>
      </c>
      <c r="C41" s="7"/>
      <c r="D41" s="1">
        <v>10</v>
      </c>
      <c r="E41" s="1">
        <v>10</v>
      </c>
      <c r="F41" s="1">
        <f t="shared" si="4"/>
        <v>10</v>
      </c>
      <c r="G41" s="1">
        <v>1</v>
      </c>
      <c r="H41" s="1">
        <v>2</v>
      </c>
      <c r="I41" s="1">
        <f t="shared" si="5"/>
        <v>1.5</v>
      </c>
      <c r="J41" s="1">
        <f t="shared" si="6"/>
        <v>0.15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1">
        <v>2338</v>
      </c>
      <c r="C42" s="7"/>
      <c r="D42" s="1">
        <v>11</v>
      </c>
      <c r="E42" s="1">
        <v>11</v>
      </c>
      <c r="F42" s="1">
        <f t="shared" si="4"/>
        <v>11</v>
      </c>
      <c r="G42" s="1">
        <v>2</v>
      </c>
      <c r="H42" s="1">
        <v>4</v>
      </c>
      <c r="I42" s="1">
        <f t="shared" si="5"/>
        <v>3</v>
      </c>
      <c r="J42" s="1">
        <f t="shared" si="6"/>
        <v>0.27272727272727271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A43" s="1"/>
      <c r="B43" s="10">
        <v>2348</v>
      </c>
      <c r="C43" s="7"/>
      <c r="D43" s="1">
        <v>10</v>
      </c>
      <c r="E43" s="1">
        <v>13</v>
      </c>
      <c r="F43" s="1">
        <f t="shared" si="4"/>
        <v>11.5</v>
      </c>
      <c r="G43" s="1">
        <v>8</v>
      </c>
      <c r="H43" s="1">
        <v>6</v>
      </c>
      <c r="I43" s="1">
        <f t="shared" si="5"/>
        <v>7</v>
      </c>
      <c r="J43" s="1">
        <f t="shared" si="6"/>
        <v>0.60869565217391308</v>
      </c>
      <c r="K43" s="1" t="s">
        <v>47</v>
      </c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1"/>
      <c r="B44" s="10">
        <v>2349</v>
      </c>
      <c r="C44" s="7"/>
      <c r="D44" s="1">
        <v>9</v>
      </c>
      <c r="E44" s="1">
        <v>9</v>
      </c>
      <c r="F44" s="1">
        <f t="shared" si="4"/>
        <v>9</v>
      </c>
      <c r="G44" s="1">
        <v>2</v>
      </c>
      <c r="H44" s="1">
        <v>3</v>
      </c>
      <c r="I44" s="1">
        <f t="shared" si="5"/>
        <v>2.5</v>
      </c>
      <c r="J44" s="1">
        <f t="shared" si="6"/>
        <v>0.27777777777777779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1"/>
      <c r="B45" s="11">
        <v>2334</v>
      </c>
      <c r="C45" s="9" t="s">
        <v>15</v>
      </c>
      <c r="D45" s="1">
        <v>14</v>
      </c>
      <c r="E45" s="1">
        <v>15</v>
      </c>
      <c r="F45" s="1">
        <f t="shared" si="4"/>
        <v>14.5</v>
      </c>
      <c r="G45" s="1">
        <v>12</v>
      </c>
      <c r="H45" s="1">
        <v>9</v>
      </c>
      <c r="I45" s="1">
        <f t="shared" si="5"/>
        <v>10.5</v>
      </c>
      <c r="J45" s="1">
        <f t="shared" si="6"/>
        <v>0.72413793103448276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1"/>
      <c r="B46" s="11">
        <v>2335</v>
      </c>
      <c r="C46" s="27"/>
      <c r="D46" s="1">
        <v>13</v>
      </c>
      <c r="E46" s="1">
        <v>12</v>
      </c>
      <c r="F46" s="1">
        <f t="shared" si="4"/>
        <v>12.5</v>
      </c>
      <c r="G46" s="1">
        <v>8</v>
      </c>
      <c r="H46" s="1">
        <v>6</v>
      </c>
      <c r="I46" s="1">
        <f t="shared" si="5"/>
        <v>7</v>
      </c>
      <c r="J46" s="1">
        <f t="shared" si="6"/>
        <v>0.56000000000000005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1"/>
      <c r="B47" s="11">
        <v>2336</v>
      </c>
      <c r="C47" s="22"/>
      <c r="D47" s="1">
        <v>13</v>
      </c>
      <c r="E47" s="1">
        <v>11</v>
      </c>
      <c r="F47" s="1">
        <f t="shared" si="4"/>
        <v>12</v>
      </c>
      <c r="G47" s="1">
        <v>8</v>
      </c>
      <c r="H47" s="1">
        <v>8</v>
      </c>
      <c r="I47" s="1">
        <f t="shared" si="5"/>
        <v>8</v>
      </c>
      <c r="J47" s="1">
        <f t="shared" si="6"/>
        <v>0.66666666666666663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A48" s="1"/>
      <c r="B48" s="11">
        <v>2333</v>
      </c>
      <c r="C48" s="28"/>
      <c r="D48" s="1">
        <v>12</v>
      </c>
      <c r="E48" s="1">
        <v>12</v>
      </c>
      <c r="F48" s="1">
        <f t="shared" si="4"/>
        <v>12</v>
      </c>
      <c r="G48" s="1">
        <v>10</v>
      </c>
      <c r="H48" s="1">
        <v>6</v>
      </c>
      <c r="I48" s="1">
        <f t="shared" si="5"/>
        <v>8</v>
      </c>
      <c r="J48" s="1">
        <f t="shared" si="6"/>
        <v>0.66666666666666663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1"/>
      <c r="B49" s="10">
        <v>2350</v>
      </c>
      <c r="C49" s="9"/>
      <c r="D49" s="1">
        <v>12</v>
      </c>
      <c r="E49" s="1">
        <v>11</v>
      </c>
      <c r="F49" s="1">
        <f t="shared" si="4"/>
        <v>11.5</v>
      </c>
      <c r="G49" s="1">
        <v>16</v>
      </c>
      <c r="H49" s="1">
        <v>13</v>
      </c>
      <c r="I49" s="1">
        <f t="shared" si="5"/>
        <v>14.5</v>
      </c>
      <c r="J49" s="1">
        <f t="shared" si="6"/>
        <v>1.2608695652173914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">
      <c r="A50" s="1"/>
      <c r="B50" s="10">
        <v>2351</v>
      </c>
      <c r="C50" s="9"/>
      <c r="D50" s="1">
        <v>10</v>
      </c>
      <c r="E50" s="1">
        <v>9</v>
      </c>
      <c r="F50" s="1">
        <f t="shared" si="4"/>
        <v>9.5</v>
      </c>
      <c r="G50" s="1">
        <v>8</v>
      </c>
      <c r="H50" s="1">
        <v>5</v>
      </c>
      <c r="I50" s="1">
        <f t="shared" si="5"/>
        <v>6.5</v>
      </c>
      <c r="J50" s="1">
        <f t="shared" si="6"/>
        <v>0.68421052631578949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A51" s="1"/>
      <c r="B51" s="11">
        <v>2327</v>
      </c>
      <c r="C51" s="12" t="s">
        <v>43</v>
      </c>
      <c r="D51" s="1">
        <v>10</v>
      </c>
      <c r="E51" s="1">
        <v>10</v>
      </c>
      <c r="F51" s="1">
        <f t="shared" si="4"/>
        <v>10</v>
      </c>
      <c r="G51" s="1">
        <v>7</v>
      </c>
      <c r="H51" s="1">
        <v>4</v>
      </c>
      <c r="I51" s="1">
        <f t="shared" si="5"/>
        <v>5.5</v>
      </c>
      <c r="J51" s="1">
        <f t="shared" si="6"/>
        <v>0.55000000000000004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1"/>
      <c r="B52" s="11">
        <v>2329</v>
      </c>
      <c r="C52" s="25"/>
      <c r="D52" s="1">
        <v>13</v>
      </c>
      <c r="E52" s="1">
        <v>14</v>
      </c>
      <c r="F52" s="1">
        <f t="shared" si="4"/>
        <v>13.5</v>
      </c>
      <c r="G52" s="1">
        <v>13</v>
      </c>
      <c r="H52" s="1">
        <v>14</v>
      </c>
      <c r="I52" s="1">
        <f t="shared" si="5"/>
        <v>13.5</v>
      </c>
      <c r="J52" s="1">
        <f t="shared" si="6"/>
        <v>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A53" s="1"/>
      <c r="B53" s="20">
        <v>2331</v>
      </c>
      <c r="C53" s="25"/>
      <c r="D53" s="1">
        <v>15</v>
      </c>
      <c r="E53" s="1">
        <v>12</v>
      </c>
      <c r="F53" s="1">
        <f t="shared" si="4"/>
        <v>13.5</v>
      </c>
      <c r="G53" s="1">
        <v>7</v>
      </c>
      <c r="H53" s="1">
        <v>9</v>
      </c>
      <c r="I53" s="1">
        <f t="shared" si="5"/>
        <v>8</v>
      </c>
      <c r="J53" s="1">
        <f t="shared" si="6"/>
        <v>0.59259259259259256</v>
      </c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">
      <c r="B54" s="21">
        <v>2339</v>
      </c>
      <c r="C54" s="25"/>
      <c r="D54" s="1">
        <v>9</v>
      </c>
      <c r="E54" s="1">
        <v>10</v>
      </c>
      <c r="F54" s="1">
        <f t="shared" si="4"/>
        <v>9.5</v>
      </c>
      <c r="G54" s="1">
        <v>7</v>
      </c>
      <c r="H54" s="1">
        <v>7</v>
      </c>
      <c r="I54" s="1">
        <f t="shared" si="5"/>
        <v>7</v>
      </c>
      <c r="J54" s="1">
        <f t="shared" si="6"/>
        <v>0.73684210526315785</v>
      </c>
    </row>
    <row r="55" spans="1:21" x14ac:dyDescent="0.2">
      <c r="B55" s="21">
        <v>2341</v>
      </c>
      <c r="C55" s="26"/>
      <c r="D55" s="1">
        <v>11</v>
      </c>
      <c r="E55" s="1">
        <v>11</v>
      </c>
      <c r="F55" s="1">
        <f t="shared" si="4"/>
        <v>11</v>
      </c>
      <c r="G55" s="1">
        <v>13</v>
      </c>
      <c r="H55" s="1">
        <v>6</v>
      </c>
      <c r="I55" s="1">
        <f t="shared" si="5"/>
        <v>9.5</v>
      </c>
      <c r="J55" s="1">
        <f t="shared" si="6"/>
        <v>0.86363636363636365</v>
      </c>
    </row>
    <row r="56" spans="1:21" x14ac:dyDescent="0.2">
      <c r="B56" s="20">
        <v>2345</v>
      </c>
      <c r="C56" s="25"/>
      <c r="D56" s="1">
        <v>12</v>
      </c>
      <c r="E56" s="1">
        <v>11</v>
      </c>
      <c r="F56" s="1">
        <f t="shared" si="4"/>
        <v>11.5</v>
      </c>
      <c r="G56" s="1">
        <v>14</v>
      </c>
      <c r="H56" s="1">
        <v>13</v>
      </c>
      <c r="I56" s="1">
        <f t="shared" si="5"/>
        <v>13.5</v>
      </c>
      <c r="J56" s="1">
        <f t="shared" si="6"/>
        <v>1.173913043478261</v>
      </c>
    </row>
    <row r="57" spans="1:21" x14ac:dyDescent="0.2">
      <c r="B57" s="24">
        <v>2346</v>
      </c>
      <c r="C57" s="25"/>
      <c r="D57" s="1">
        <v>12</v>
      </c>
      <c r="E57" s="1">
        <v>11</v>
      </c>
      <c r="F57" s="1">
        <f t="shared" si="4"/>
        <v>11.5</v>
      </c>
      <c r="G57" s="1">
        <v>12</v>
      </c>
      <c r="H57" s="1">
        <v>6</v>
      </c>
      <c r="I57" s="1">
        <f t="shared" si="5"/>
        <v>9</v>
      </c>
      <c r="J57" s="1">
        <f t="shared" si="6"/>
        <v>0.78260869565217395</v>
      </c>
    </row>
    <row r="58" spans="1:21" x14ac:dyDescent="0.2">
      <c r="B58" s="20">
        <v>2347</v>
      </c>
      <c r="C58" s="12"/>
      <c r="D58" s="1">
        <v>10</v>
      </c>
      <c r="E58" s="1">
        <v>8</v>
      </c>
      <c r="F58" s="1">
        <f t="shared" si="4"/>
        <v>9</v>
      </c>
      <c r="G58" s="1">
        <v>7</v>
      </c>
      <c r="H58" s="1">
        <v>3</v>
      </c>
      <c r="I58" s="1">
        <f t="shared" si="5"/>
        <v>5</v>
      </c>
      <c r="J58" s="1">
        <f t="shared" si="6"/>
        <v>0.55555555555555558</v>
      </c>
    </row>
    <row r="59" spans="1:21" x14ac:dyDescent="0.2">
      <c r="B59" s="1"/>
      <c r="C59" s="1"/>
      <c r="D59" s="1"/>
      <c r="E59" s="1"/>
      <c r="F59" s="1"/>
      <c r="G59" s="1"/>
      <c r="H59" s="1"/>
      <c r="I59" s="1"/>
      <c r="J59" s="1"/>
    </row>
    <row r="60" spans="1:21" x14ac:dyDescent="0.2">
      <c r="B60" s="1"/>
      <c r="C60" s="1"/>
      <c r="D60" s="1"/>
      <c r="E60" s="1"/>
      <c r="F60" s="1"/>
      <c r="G60" s="1"/>
      <c r="H60" s="1"/>
      <c r="I60" s="1"/>
      <c r="J60" s="1"/>
    </row>
    <row r="61" spans="1:21" x14ac:dyDescent="0.2">
      <c r="B61" s="1"/>
      <c r="C61" s="1"/>
      <c r="D61" s="1"/>
      <c r="E61" s="1"/>
      <c r="F61" s="1"/>
      <c r="G61" s="1"/>
      <c r="H61" s="1"/>
      <c r="I61" s="1"/>
      <c r="J61" s="1"/>
    </row>
    <row r="62" spans="1:21" x14ac:dyDescent="0.2">
      <c r="B62" s="1"/>
      <c r="C62" s="1"/>
      <c r="D62" s="1"/>
      <c r="E62" s="1"/>
      <c r="F62" s="1"/>
      <c r="G62" s="1"/>
      <c r="H62" s="1"/>
      <c r="I62" s="1"/>
      <c r="J62" s="1"/>
      <c r="L62" s="1"/>
      <c r="M62" s="1"/>
      <c r="N62" s="1"/>
      <c r="O62" s="1"/>
      <c r="P62" s="1"/>
      <c r="Q62" s="1"/>
      <c r="S62" s="1"/>
      <c r="T62" s="1"/>
      <c r="U62" s="1"/>
    </row>
    <row r="65" spans="1:21" x14ac:dyDescent="0.2">
      <c r="A65" s="1" t="s">
        <v>19</v>
      </c>
      <c r="B65" s="1" t="s">
        <v>20</v>
      </c>
      <c r="N65" t="s">
        <v>48</v>
      </c>
    </row>
    <row r="66" spans="1:21" x14ac:dyDescent="0.2">
      <c r="A66" s="2" t="s">
        <v>21</v>
      </c>
      <c r="L66" s="1"/>
      <c r="M66" s="1"/>
      <c r="N66" s="1" t="s">
        <v>22</v>
      </c>
      <c r="O66" s="1"/>
      <c r="P66" s="1"/>
      <c r="Q66" s="1"/>
      <c r="R66" s="1" t="s">
        <v>23</v>
      </c>
      <c r="S66" s="1"/>
      <c r="T66" s="1"/>
      <c r="U66" s="1"/>
    </row>
    <row r="67" spans="1:21" x14ac:dyDescent="0.2">
      <c r="A67" s="3" t="s">
        <v>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" t="s">
        <v>24</v>
      </c>
      <c r="O67" s="1"/>
      <c r="P67" s="1"/>
      <c r="Q67" s="1"/>
      <c r="R67" s="3" t="s">
        <v>25</v>
      </c>
      <c r="S67" s="1"/>
      <c r="T67" s="1"/>
      <c r="U67" s="1"/>
    </row>
    <row r="68" spans="1:21" x14ac:dyDescent="0.2">
      <c r="A68" s="19">
        <v>45622</v>
      </c>
      <c r="B68" s="4"/>
      <c r="C68" s="4" t="s">
        <v>26</v>
      </c>
      <c r="D68" s="4" t="s">
        <v>27</v>
      </c>
      <c r="E68" s="4" t="s">
        <v>28</v>
      </c>
      <c r="F68" s="4" t="s">
        <v>29</v>
      </c>
      <c r="G68" s="3" t="s">
        <v>30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8" t="s">
        <v>36</v>
      </c>
      <c r="N68" s="4" t="s">
        <v>37</v>
      </c>
      <c r="O68" s="4" t="s">
        <v>38</v>
      </c>
      <c r="P68" s="4" t="s">
        <v>39</v>
      </c>
      <c r="Q68" s="8" t="s">
        <v>40</v>
      </c>
      <c r="R68" s="4" t="s">
        <v>37</v>
      </c>
      <c r="S68" s="4" t="s">
        <v>38</v>
      </c>
      <c r="T68" s="4" t="s">
        <v>39</v>
      </c>
      <c r="U68" s="8" t="s">
        <v>41</v>
      </c>
    </row>
    <row r="69" spans="1:21" x14ac:dyDescent="0.2">
      <c r="A69" s="10">
        <v>2328</v>
      </c>
      <c r="B69" s="6" t="s">
        <v>14</v>
      </c>
      <c r="C69" s="1">
        <v>7</v>
      </c>
      <c r="D69" s="1"/>
      <c r="E69" s="1"/>
      <c r="F69" s="1">
        <v>8</v>
      </c>
      <c r="G69" s="1">
        <v>3.5</v>
      </c>
      <c r="H69" s="1">
        <v>1013.5</v>
      </c>
      <c r="I69" s="1">
        <v>1053</v>
      </c>
      <c r="J69" s="1">
        <v>1031</v>
      </c>
      <c r="K69" s="1">
        <f>I69-H69</f>
        <v>39.5</v>
      </c>
      <c r="L69" s="1">
        <f>J69-H69</f>
        <v>17.5</v>
      </c>
      <c r="M69" s="1">
        <f>(K69-L69)/(K69)*100</f>
        <v>55.696202531645568</v>
      </c>
      <c r="N69" s="13">
        <v>0.41597222222222224</v>
      </c>
      <c r="O69" s="13">
        <v>0.625</v>
      </c>
      <c r="P69" s="14">
        <f>O69-N69</f>
        <v>0.20902777777777776</v>
      </c>
      <c r="Q69" s="15">
        <f>P69*1440</f>
        <v>300.99999999999994</v>
      </c>
      <c r="R69" s="14">
        <v>0.45208333333333334</v>
      </c>
      <c r="S69" s="14">
        <v>0.45902777777777776</v>
      </c>
      <c r="T69" s="14">
        <f>S69-R69</f>
        <v>6.9444444444444198E-3</v>
      </c>
      <c r="U69" s="15">
        <f>T69*1440</f>
        <v>9.9999999999999645</v>
      </c>
    </row>
    <row r="70" spans="1:21" x14ac:dyDescent="0.2">
      <c r="A70" s="10">
        <v>2330</v>
      </c>
      <c r="B70" s="7"/>
      <c r="C70" s="1">
        <v>9</v>
      </c>
      <c r="D70" s="1"/>
      <c r="E70" s="1" t="s">
        <v>47</v>
      </c>
      <c r="F70" s="1">
        <v>9</v>
      </c>
      <c r="G70" s="1">
        <v>4</v>
      </c>
      <c r="H70" s="1">
        <v>1002.5</v>
      </c>
      <c r="I70" s="1">
        <v>1075</v>
      </c>
      <c r="J70" s="1">
        <v>1025.5</v>
      </c>
      <c r="K70" s="1">
        <f t="shared" ref="K70:K89" si="7">I70-H70</f>
        <v>72.5</v>
      </c>
      <c r="L70" s="1">
        <f t="shared" ref="L70:L89" si="8">J70-H70</f>
        <v>23</v>
      </c>
      <c r="M70" s="1">
        <f t="shared" ref="M70:M89" si="9">(K70-L70)/(K70)*100</f>
        <v>68.275862068965523</v>
      </c>
      <c r="N70" s="13">
        <v>0.41597222222222224</v>
      </c>
      <c r="O70" s="13">
        <v>0.5625</v>
      </c>
      <c r="P70" s="14">
        <f t="shared" ref="P70:P89" si="10">O70-N70</f>
        <v>0.14652777777777776</v>
      </c>
      <c r="Q70" s="15">
        <f t="shared" ref="Q70:Q88" si="11">P70*1440</f>
        <v>210.99999999999997</v>
      </c>
      <c r="R70" s="14">
        <v>0.4548611111111111</v>
      </c>
      <c r="S70" s="14">
        <v>0.4548611111111111</v>
      </c>
      <c r="T70" s="14">
        <f t="shared" ref="T70:T89" si="12">S70-R70</f>
        <v>0</v>
      </c>
      <c r="U70" s="15">
        <f t="shared" ref="U70:U88" si="13">T70*1440</f>
        <v>0</v>
      </c>
    </row>
    <row r="71" spans="1:21" x14ac:dyDescent="0.2">
      <c r="A71" s="11">
        <v>2332</v>
      </c>
      <c r="B71" s="7"/>
      <c r="C71" s="1">
        <v>1</v>
      </c>
      <c r="D71" s="1"/>
      <c r="E71" s="1"/>
      <c r="F71" s="1">
        <v>3</v>
      </c>
      <c r="G71" s="1">
        <v>4</v>
      </c>
      <c r="H71" s="1">
        <v>1010</v>
      </c>
      <c r="I71" s="1">
        <v>1062.5</v>
      </c>
      <c r="J71" s="1">
        <v>1033</v>
      </c>
      <c r="K71" s="1">
        <f t="shared" si="7"/>
        <v>52.5</v>
      </c>
      <c r="L71" s="1">
        <f t="shared" si="8"/>
        <v>23</v>
      </c>
      <c r="M71" s="1">
        <f t="shared" si="9"/>
        <v>56.19047619047619</v>
      </c>
      <c r="N71" s="13">
        <v>0.41597222222222224</v>
      </c>
      <c r="O71" s="13">
        <v>0.60416666666666663</v>
      </c>
      <c r="P71" s="14">
        <f t="shared" si="10"/>
        <v>0.18819444444444439</v>
      </c>
      <c r="Q71" s="15">
        <f t="shared" si="11"/>
        <v>270.99999999999994</v>
      </c>
      <c r="R71" s="14">
        <v>0.45763888888888887</v>
      </c>
      <c r="S71" s="14">
        <v>0.45833333333333331</v>
      </c>
      <c r="T71" s="14">
        <f t="shared" si="12"/>
        <v>6.9444444444444198E-4</v>
      </c>
      <c r="U71" s="15">
        <f t="shared" si="13"/>
        <v>0.99999999999999645</v>
      </c>
    </row>
    <row r="72" spans="1:21" x14ac:dyDescent="0.2">
      <c r="A72" s="11">
        <v>2337</v>
      </c>
      <c r="B72" s="7"/>
      <c r="C72" s="1">
        <v>7</v>
      </c>
      <c r="D72" s="1"/>
      <c r="E72" s="1"/>
      <c r="F72" s="1">
        <v>7</v>
      </c>
      <c r="G72" s="1">
        <v>4</v>
      </c>
      <c r="H72" s="1">
        <v>1006.5</v>
      </c>
      <c r="I72" s="1">
        <v>1074</v>
      </c>
      <c r="J72" s="1">
        <v>1032</v>
      </c>
      <c r="K72" s="1">
        <f t="shared" si="7"/>
        <v>67.5</v>
      </c>
      <c r="L72" s="1">
        <f t="shared" si="8"/>
        <v>25.5</v>
      </c>
      <c r="M72" s="1">
        <f t="shared" si="9"/>
        <v>62.222222222222221</v>
      </c>
      <c r="N72" s="13">
        <v>0.41597222222222224</v>
      </c>
      <c r="O72" s="13">
        <v>0.625</v>
      </c>
      <c r="P72" s="14">
        <f t="shared" si="10"/>
        <v>0.20902777777777776</v>
      </c>
      <c r="Q72" s="15">
        <f t="shared" si="11"/>
        <v>300.99999999999994</v>
      </c>
      <c r="R72" s="14">
        <v>0.46041666666666664</v>
      </c>
      <c r="S72" s="14">
        <v>0.46458333333333335</v>
      </c>
      <c r="T72" s="14">
        <f t="shared" si="12"/>
        <v>4.1666666666667074E-3</v>
      </c>
      <c r="U72" s="15">
        <f t="shared" si="13"/>
        <v>6.0000000000000586</v>
      </c>
    </row>
    <row r="73" spans="1:21" x14ac:dyDescent="0.2">
      <c r="A73" s="11">
        <v>2338</v>
      </c>
      <c r="B73" s="7"/>
      <c r="C73" s="1">
        <v>11</v>
      </c>
      <c r="D73" s="1"/>
      <c r="E73" s="1"/>
      <c r="F73" s="1">
        <v>11</v>
      </c>
      <c r="G73" s="1">
        <v>4</v>
      </c>
      <c r="H73" s="1">
        <v>1002.5</v>
      </c>
      <c r="I73" s="1">
        <v>1050</v>
      </c>
      <c r="J73" s="1">
        <v>1018.5</v>
      </c>
      <c r="K73" s="1">
        <f t="shared" si="7"/>
        <v>47.5</v>
      </c>
      <c r="L73" s="1">
        <f t="shared" si="8"/>
        <v>16</v>
      </c>
      <c r="M73" s="1">
        <f t="shared" si="9"/>
        <v>66.315789473684205</v>
      </c>
      <c r="N73" s="13">
        <v>0.41597222222222224</v>
      </c>
      <c r="O73" s="13">
        <v>0.54166666666666663</v>
      </c>
      <c r="P73" s="14">
        <f t="shared" si="10"/>
        <v>0.12569444444444439</v>
      </c>
      <c r="Q73" s="15">
        <f t="shared" si="11"/>
        <v>180.99999999999991</v>
      </c>
      <c r="R73" s="14">
        <v>0.46388888888888891</v>
      </c>
      <c r="S73" s="14">
        <v>0.46527777777777779</v>
      </c>
      <c r="T73" s="14">
        <f t="shared" si="12"/>
        <v>1.388888888888884E-3</v>
      </c>
      <c r="U73" s="15">
        <f t="shared" si="13"/>
        <v>1.9999999999999929</v>
      </c>
    </row>
    <row r="74" spans="1:21" x14ac:dyDescent="0.2">
      <c r="A74" s="10">
        <v>2348</v>
      </c>
      <c r="B74" s="7"/>
      <c r="C74" s="1">
        <v>11</v>
      </c>
      <c r="D74" s="1"/>
      <c r="E74" s="1"/>
      <c r="F74" s="1">
        <v>11</v>
      </c>
      <c r="G74" s="1">
        <v>4.5</v>
      </c>
      <c r="H74" s="1">
        <v>1002.5</v>
      </c>
      <c r="I74" s="1">
        <v>1125</v>
      </c>
      <c r="J74" s="1">
        <v>1028.5</v>
      </c>
      <c r="K74" s="1">
        <f t="shared" si="7"/>
        <v>122.5</v>
      </c>
      <c r="L74" s="1">
        <f t="shared" si="8"/>
        <v>26</v>
      </c>
      <c r="M74" s="1">
        <f t="shared" si="9"/>
        <v>78.775510204081627</v>
      </c>
      <c r="N74" s="13">
        <v>0.41597222222222224</v>
      </c>
      <c r="O74" s="13">
        <v>0.54166666666666663</v>
      </c>
      <c r="P74" s="14">
        <f t="shared" si="10"/>
        <v>0.12569444444444439</v>
      </c>
      <c r="Q74" s="15">
        <f t="shared" si="11"/>
        <v>180.99999999999991</v>
      </c>
      <c r="R74" s="14">
        <v>0.47013888888888888</v>
      </c>
      <c r="S74" s="14">
        <v>0.47708333333333336</v>
      </c>
      <c r="T74" s="14">
        <f t="shared" si="12"/>
        <v>6.9444444444444753E-3</v>
      </c>
      <c r="U74" s="15">
        <f t="shared" si="13"/>
        <v>10.000000000000044</v>
      </c>
    </row>
    <row r="75" spans="1:21" x14ac:dyDescent="0.2">
      <c r="A75" s="10">
        <v>2349</v>
      </c>
      <c r="B75" s="7"/>
      <c r="C75" s="1">
        <v>8</v>
      </c>
      <c r="D75" s="1"/>
      <c r="E75" s="1"/>
      <c r="F75" s="1">
        <v>10</v>
      </c>
      <c r="G75" s="1">
        <v>4.5</v>
      </c>
      <c r="H75" s="1">
        <v>996.5</v>
      </c>
      <c r="I75" s="1">
        <v>1072</v>
      </c>
      <c r="J75" s="1">
        <v>1012</v>
      </c>
      <c r="K75" s="1">
        <f t="shared" si="7"/>
        <v>75.5</v>
      </c>
      <c r="L75" s="1">
        <f t="shared" si="8"/>
        <v>15.5</v>
      </c>
      <c r="M75" s="1">
        <f t="shared" si="9"/>
        <v>79.47019867549669</v>
      </c>
      <c r="N75" s="13">
        <v>0.41597222222222224</v>
      </c>
      <c r="O75" s="13">
        <v>0.54166666666666663</v>
      </c>
      <c r="P75" s="14">
        <f t="shared" si="10"/>
        <v>0.12569444444444439</v>
      </c>
      <c r="Q75" s="15">
        <f t="shared" si="11"/>
        <v>180.99999999999991</v>
      </c>
      <c r="R75" s="14">
        <v>0.46736111111111112</v>
      </c>
      <c r="S75" s="14">
        <v>0.47847222222222224</v>
      </c>
      <c r="T75" s="14">
        <f t="shared" si="12"/>
        <v>1.1111111111111127E-2</v>
      </c>
      <c r="U75" s="15">
        <f>T75*1440</f>
        <v>16.000000000000021</v>
      </c>
    </row>
    <row r="76" spans="1:21" x14ac:dyDescent="0.2">
      <c r="A76" s="11">
        <v>2334</v>
      </c>
      <c r="B76" s="9" t="s">
        <v>15</v>
      </c>
      <c r="C76" s="1">
        <v>3</v>
      </c>
      <c r="D76" s="1"/>
      <c r="E76" s="1"/>
      <c r="F76" s="1">
        <v>5</v>
      </c>
      <c r="G76" s="1">
        <v>3</v>
      </c>
      <c r="H76" s="1">
        <v>1001.5</v>
      </c>
      <c r="I76" s="1">
        <v>1035.5</v>
      </c>
      <c r="J76" s="1">
        <v>1018</v>
      </c>
      <c r="K76" s="1">
        <f t="shared" si="7"/>
        <v>34</v>
      </c>
      <c r="L76" s="1">
        <f t="shared" si="8"/>
        <v>16.5</v>
      </c>
      <c r="M76" s="1">
        <f t="shared" si="9"/>
        <v>51.470588235294116</v>
      </c>
      <c r="N76" s="13">
        <v>0.40763888888888888</v>
      </c>
      <c r="O76" s="13">
        <v>0.70833333333333337</v>
      </c>
      <c r="P76" s="14">
        <f t="shared" si="10"/>
        <v>0.30069444444444449</v>
      </c>
      <c r="Q76" s="15">
        <f t="shared" si="11"/>
        <v>433.00000000000006</v>
      </c>
      <c r="R76" s="14">
        <v>0.40763888888888888</v>
      </c>
      <c r="S76" s="14">
        <v>0.43125000000000002</v>
      </c>
      <c r="T76" s="14">
        <f t="shared" si="12"/>
        <v>2.3611111111111138E-2</v>
      </c>
      <c r="U76" s="15">
        <f t="shared" si="13"/>
        <v>34.000000000000043</v>
      </c>
    </row>
    <row r="77" spans="1:21" ht="17" x14ac:dyDescent="0.2">
      <c r="A77" s="11">
        <v>2335</v>
      </c>
      <c r="B77" s="27"/>
      <c r="C77" s="1">
        <v>5</v>
      </c>
      <c r="D77" s="1"/>
      <c r="E77" s="1"/>
      <c r="F77" s="1">
        <v>5</v>
      </c>
      <c r="G77" s="1">
        <v>2.5</v>
      </c>
      <c r="H77" s="1">
        <v>1020</v>
      </c>
      <c r="I77" s="17">
        <v>1053.5</v>
      </c>
      <c r="J77" s="17">
        <v>1037</v>
      </c>
      <c r="K77" s="1">
        <f t="shared" si="7"/>
        <v>33.5</v>
      </c>
      <c r="L77" s="1">
        <f t="shared" si="8"/>
        <v>17</v>
      </c>
      <c r="M77" s="1">
        <f t="shared" si="9"/>
        <v>49.253731343283583</v>
      </c>
      <c r="N77" s="13">
        <v>0.40763888888888888</v>
      </c>
      <c r="O77" s="16" t="s">
        <v>44</v>
      </c>
      <c r="P77" s="14">
        <v>0.33333333333333331</v>
      </c>
      <c r="Q77" s="15">
        <f t="shared" si="11"/>
        <v>480</v>
      </c>
      <c r="R77" s="14">
        <v>0.41041666666666665</v>
      </c>
      <c r="S77" s="14">
        <v>0.44027777777777777</v>
      </c>
      <c r="T77" s="14">
        <f t="shared" si="12"/>
        <v>2.9861111111111116E-2</v>
      </c>
      <c r="U77" s="15">
        <f t="shared" si="13"/>
        <v>43.000000000000007</v>
      </c>
    </row>
    <row r="78" spans="1:21" x14ac:dyDescent="0.2">
      <c r="A78" s="11">
        <v>2336</v>
      </c>
      <c r="B78" s="22"/>
      <c r="C78" s="1">
        <v>0</v>
      </c>
      <c r="D78" s="1"/>
      <c r="E78" s="1"/>
      <c r="F78" s="1">
        <v>2</v>
      </c>
      <c r="G78" s="1">
        <v>3</v>
      </c>
      <c r="H78" s="1">
        <v>991</v>
      </c>
      <c r="I78" s="1">
        <v>1017</v>
      </c>
      <c r="J78" s="1">
        <v>1005.5</v>
      </c>
      <c r="K78" s="1">
        <f t="shared" si="7"/>
        <v>26</v>
      </c>
      <c r="L78" s="1">
        <f t="shared" si="8"/>
        <v>14.5</v>
      </c>
      <c r="M78" s="1">
        <f t="shared" si="9"/>
        <v>44.230769230769226</v>
      </c>
      <c r="N78" s="13">
        <v>0.40763888888888888</v>
      </c>
      <c r="O78" s="14">
        <v>0.58333333333333337</v>
      </c>
      <c r="P78" s="14">
        <f t="shared" si="10"/>
        <v>0.17569444444444449</v>
      </c>
      <c r="Q78" s="15">
        <f t="shared" si="11"/>
        <v>253.00000000000006</v>
      </c>
      <c r="R78" s="14">
        <v>0.41319444444444442</v>
      </c>
      <c r="S78" s="14">
        <v>0.42638888888888887</v>
      </c>
      <c r="T78" s="14">
        <f t="shared" si="12"/>
        <v>1.3194444444444453E-2</v>
      </c>
      <c r="U78" s="15">
        <f t="shared" si="13"/>
        <v>19.000000000000014</v>
      </c>
    </row>
    <row r="79" spans="1:21" x14ac:dyDescent="0.2">
      <c r="A79" s="11">
        <v>2333</v>
      </c>
      <c r="B79" s="28"/>
      <c r="C79" s="17">
        <v>1</v>
      </c>
      <c r="D79" s="17"/>
      <c r="E79" s="17"/>
      <c r="F79" s="17">
        <v>1</v>
      </c>
      <c r="G79" s="17">
        <v>3</v>
      </c>
      <c r="H79" s="1">
        <v>1003.5</v>
      </c>
      <c r="I79" s="1">
        <v>1032</v>
      </c>
      <c r="J79" s="1">
        <v>1014.5</v>
      </c>
      <c r="K79" s="1">
        <f t="shared" si="7"/>
        <v>28.5</v>
      </c>
      <c r="L79" s="1">
        <f t="shared" si="8"/>
        <v>11</v>
      </c>
      <c r="M79" s="1">
        <f t="shared" si="9"/>
        <v>61.403508771929829</v>
      </c>
      <c r="N79" s="13">
        <v>0.40763888888888888</v>
      </c>
      <c r="O79" s="13" t="s">
        <v>44</v>
      </c>
      <c r="P79" s="14">
        <v>0.33333333333333331</v>
      </c>
      <c r="Q79" s="15">
        <f t="shared" si="11"/>
        <v>480</v>
      </c>
      <c r="R79" s="18">
        <v>0.41597222222222224</v>
      </c>
      <c r="S79" s="18" t="s">
        <v>46</v>
      </c>
      <c r="T79" s="14"/>
      <c r="U79" s="15"/>
    </row>
    <row r="80" spans="1:21" x14ac:dyDescent="0.2">
      <c r="A80" s="10">
        <v>2350</v>
      </c>
      <c r="B80" s="9"/>
      <c r="C80" s="1">
        <v>5</v>
      </c>
      <c r="D80" s="1"/>
      <c r="E80" s="1"/>
      <c r="F80" s="1">
        <v>7</v>
      </c>
      <c r="G80" s="1">
        <v>3.5</v>
      </c>
      <c r="H80" s="1">
        <v>1016.5</v>
      </c>
      <c r="I80" s="1">
        <v>1045.5</v>
      </c>
      <c r="J80" s="1">
        <v>1028</v>
      </c>
      <c r="K80" s="1">
        <f t="shared" si="7"/>
        <v>29</v>
      </c>
      <c r="L80" s="1">
        <f t="shared" si="8"/>
        <v>11.5</v>
      </c>
      <c r="M80" s="1">
        <f t="shared" si="9"/>
        <v>60.344827586206897</v>
      </c>
      <c r="N80" s="13">
        <v>0.40763888888888888</v>
      </c>
      <c r="O80" s="13">
        <v>0.58333333333333337</v>
      </c>
      <c r="P80" s="14">
        <f t="shared" si="10"/>
        <v>0.17569444444444449</v>
      </c>
      <c r="Q80" s="15">
        <f>P80*1440</f>
        <v>253.00000000000006</v>
      </c>
      <c r="R80" s="14">
        <v>0.41875000000000001</v>
      </c>
      <c r="S80" s="14">
        <v>0.43680555555555556</v>
      </c>
      <c r="T80" s="14">
        <f t="shared" si="12"/>
        <v>1.8055555555555547E-2</v>
      </c>
      <c r="U80" s="15">
        <f t="shared" si="13"/>
        <v>25.999999999999986</v>
      </c>
    </row>
    <row r="81" spans="1:21" x14ac:dyDescent="0.2">
      <c r="A81" s="10">
        <v>2351</v>
      </c>
      <c r="B81" s="9"/>
      <c r="C81" s="1">
        <v>3</v>
      </c>
      <c r="D81" s="1"/>
      <c r="E81" s="1"/>
      <c r="F81" s="1">
        <v>3</v>
      </c>
      <c r="G81" s="1">
        <v>2.5</v>
      </c>
      <c r="H81" s="1">
        <v>1004</v>
      </c>
      <c r="I81" s="1">
        <v>1053.5</v>
      </c>
      <c r="J81" s="1">
        <v>1031</v>
      </c>
      <c r="K81" s="1">
        <f t="shared" si="7"/>
        <v>49.5</v>
      </c>
      <c r="L81" s="1">
        <f t="shared" si="8"/>
        <v>27</v>
      </c>
      <c r="M81" s="1">
        <f t="shared" si="9"/>
        <v>45.454545454545453</v>
      </c>
      <c r="N81" s="13">
        <v>0.40763888888888888</v>
      </c>
      <c r="O81" s="13">
        <v>0.64583333333333337</v>
      </c>
      <c r="P81" s="14">
        <v>0.33333333333333331</v>
      </c>
      <c r="Q81" s="15">
        <f t="shared" si="11"/>
        <v>480</v>
      </c>
      <c r="R81" s="14">
        <v>0.42083333333333334</v>
      </c>
      <c r="S81" s="14">
        <v>0.44097222222222221</v>
      </c>
      <c r="T81" s="14">
        <f t="shared" si="12"/>
        <v>2.0138888888888873E-2</v>
      </c>
      <c r="U81" s="15">
        <f t="shared" si="13"/>
        <v>28.999999999999979</v>
      </c>
    </row>
    <row r="82" spans="1:21" x14ac:dyDescent="0.2">
      <c r="A82" s="11">
        <v>2327</v>
      </c>
      <c r="B82" s="12" t="s">
        <v>43</v>
      </c>
      <c r="C82" s="1">
        <v>3</v>
      </c>
      <c r="D82" s="1"/>
      <c r="E82" s="1"/>
      <c r="F82" s="1">
        <v>11</v>
      </c>
      <c r="G82" s="1">
        <v>3</v>
      </c>
      <c r="H82" s="1">
        <v>1007.5</v>
      </c>
      <c r="I82" s="1">
        <v>1073</v>
      </c>
      <c r="J82" s="1">
        <v>1031.5</v>
      </c>
      <c r="K82" s="1">
        <f t="shared" si="7"/>
        <v>65.5</v>
      </c>
      <c r="L82" s="1">
        <f t="shared" si="8"/>
        <v>24</v>
      </c>
      <c r="M82" s="1">
        <f t="shared" si="9"/>
        <v>63.358778625954194</v>
      </c>
      <c r="N82" s="13">
        <v>0.41249999999999998</v>
      </c>
      <c r="O82" s="13">
        <v>0.58333333333333337</v>
      </c>
      <c r="P82" s="14">
        <f t="shared" si="10"/>
        <v>0.17083333333333339</v>
      </c>
      <c r="Q82" s="15">
        <f t="shared" si="11"/>
        <v>246.00000000000009</v>
      </c>
      <c r="R82" s="14">
        <v>0.42569444444444443</v>
      </c>
      <c r="S82" s="14">
        <v>0.44027777777777777</v>
      </c>
      <c r="T82" s="14">
        <f t="shared" si="12"/>
        <v>1.4583333333333337E-2</v>
      </c>
      <c r="U82" s="15">
        <f>T82*1440</f>
        <v>21.000000000000007</v>
      </c>
    </row>
    <row r="83" spans="1:21" x14ac:dyDescent="0.2">
      <c r="A83" s="11">
        <v>2329</v>
      </c>
      <c r="B83" s="25"/>
      <c r="C83" s="1">
        <v>5</v>
      </c>
      <c r="D83" s="1"/>
      <c r="E83" s="1"/>
      <c r="F83" s="1">
        <v>5</v>
      </c>
      <c r="G83" s="1">
        <v>4</v>
      </c>
      <c r="H83" s="1">
        <v>1002.5</v>
      </c>
      <c r="I83" s="1">
        <v>1049.5</v>
      </c>
      <c r="J83" s="1">
        <v>1024</v>
      </c>
      <c r="K83" s="1">
        <f t="shared" si="7"/>
        <v>47</v>
      </c>
      <c r="L83" s="1">
        <f t="shared" si="8"/>
        <v>21.5</v>
      </c>
      <c r="M83" s="1">
        <f t="shared" si="9"/>
        <v>54.255319148936167</v>
      </c>
      <c r="N83" s="13">
        <v>0.41249999999999998</v>
      </c>
      <c r="O83" s="13">
        <v>0.70833333333333337</v>
      </c>
      <c r="P83" s="14">
        <f t="shared" si="10"/>
        <v>0.29583333333333339</v>
      </c>
      <c r="Q83" s="15">
        <f t="shared" si="11"/>
        <v>426.00000000000011</v>
      </c>
      <c r="R83" s="14">
        <v>0.4284722222222222</v>
      </c>
      <c r="S83" s="14">
        <v>0.4548611111111111</v>
      </c>
      <c r="T83" s="14">
        <f t="shared" si="12"/>
        <v>2.6388888888888906E-2</v>
      </c>
      <c r="U83" s="15">
        <f t="shared" si="13"/>
        <v>38.000000000000028</v>
      </c>
    </row>
    <row r="84" spans="1:21" x14ac:dyDescent="0.2">
      <c r="A84" s="20">
        <v>2331</v>
      </c>
      <c r="B84" s="25"/>
      <c r="C84" s="1">
        <v>2</v>
      </c>
      <c r="D84" s="1"/>
      <c r="E84" s="1"/>
      <c r="F84" s="1">
        <v>2</v>
      </c>
      <c r="G84" s="1">
        <v>3.5</v>
      </c>
      <c r="H84" s="1">
        <v>1024</v>
      </c>
      <c r="I84" s="1">
        <v>1052.5</v>
      </c>
      <c r="J84" s="1">
        <v>1037.5</v>
      </c>
      <c r="K84" s="1">
        <f t="shared" si="7"/>
        <v>28.5</v>
      </c>
      <c r="L84" s="1">
        <f t="shared" si="8"/>
        <v>13.5</v>
      </c>
      <c r="M84" s="1">
        <f t="shared" si="9"/>
        <v>52.631578947368418</v>
      </c>
      <c r="N84" s="13">
        <v>0.41249999999999998</v>
      </c>
      <c r="O84" s="14">
        <v>0.64583333333333337</v>
      </c>
      <c r="P84" s="14">
        <f t="shared" si="10"/>
        <v>0.23333333333333339</v>
      </c>
      <c r="Q84" s="15">
        <f t="shared" si="11"/>
        <v>336.00000000000011</v>
      </c>
      <c r="R84" s="14">
        <v>0.43055555555555558</v>
      </c>
      <c r="S84" s="14">
        <v>0.43055555555555558</v>
      </c>
      <c r="T84" s="14">
        <f t="shared" si="12"/>
        <v>0</v>
      </c>
      <c r="U84" s="15">
        <f t="shared" si="13"/>
        <v>0</v>
      </c>
    </row>
    <row r="85" spans="1:21" x14ac:dyDescent="0.2">
      <c r="A85" s="21">
        <v>2339</v>
      </c>
      <c r="B85" s="25"/>
      <c r="C85" s="1">
        <v>0</v>
      </c>
      <c r="D85" s="1"/>
      <c r="E85" s="1"/>
      <c r="F85" s="1">
        <v>2</v>
      </c>
      <c r="G85" s="1">
        <v>2.5</v>
      </c>
      <c r="H85" s="1">
        <v>1012</v>
      </c>
      <c r="I85" s="1">
        <v>1044</v>
      </c>
      <c r="J85" s="1">
        <v>1030</v>
      </c>
      <c r="K85" s="1">
        <f t="shared" si="7"/>
        <v>32</v>
      </c>
      <c r="L85" s="1">
        <f t="shared" si="8"/>
        <v>18</v>
      </c>
      <c r="M85" s="1">
        <f t="shared" si="9"/>
        <v>43.75</v>
      </c>
      <c r="N85" s="13">
        <v>0.41249999999999998</v>
      </c>
      <c r="O85" s="23">
        <v>0.625</v>
      </c>
      <c r="P85" s="14">
        <f t="shared" si="10"/>
        <v>0.21250000000000002</v>
      </c>
      <c r="Q85" s="15">
        <f t="shared" si="11"/>
        <v>306.00000000000006</v>
      </c>
      <c r="R85" s="23">
        <v>0.43402777777777779</v>
      </c>
      <c r="S85" s="23">
        <v>0.4513888888888889</v>
      </c>
      <c r="T85" s="14">
        <f t="shared" si="12"/>
        <v>1.7361111111111105E-2</v>
      </c>
      <c r="U85" s="15">
        <f t="shared" si="13"/>
        <v>24.999999999999993</v>
      </c>
    </row>
    <row r="86" spans="1:21" x14ac:dyDescent="0.2">
      <c r="A86" s="21">
        <v>2341</v>
      </c>
      <c r="B86" s="26"/>
      <c r="C86" s="1">
        <v>4</v>
      </c>
      <c r="D86" s="1"/>
      <c r="E86" s="1"/>
      <c r="F86" s="1">
        <v>8</v>
      </c>
      <c r="G86" s="1">
        <v>3</v>
      </c>
      <c r="H86" s="1">
        <v>985.5</v>
      </c>
      <c r="I86" s="1">
        <v>1015</v>
      </c>
      <c r="J86" s="1">
        <v>998.5</v>
      </c>
      <c r="K86" s="1">
        <f t="shared" si="7"/>
        <v>29.5</v>
      </c>
      <c r="L86" s="1">
        <f t="shared" si="8"/>
        <v>13</v>
      </c>
      <c r="M86" s="1">
        <f t="shared" si="9"/>
        <v>55.932203389830505</v>
      </c>
      <c r="N86" s="13">
        <v>0.41249999999999998</v>
      </c>
      <c r="O86" s="23">
        <v>0.5625</v>
      </c>
      <c r="P86" s="14">
        <f t="shared" si="10"/>
        <v>0.15000000000000002</v>
      </c>
      <c r="Q86" s="15">
        <f t="shared" si="11"/>
        <v>216.00000000000003</v>
      </c>
      <c r="R86" s="23">
        <v>0.43680555555555556</v>
      </c>
      <c r="S86" s="23">
        <v>0.45902777777777776</v>
      </c>
      <c r="T86" s="14">
        <f t="shared" si="12"/>
        <v>2.2222222222222199E-2</v>
      </c>
      <c r="U86" s="15">
        <f t="shared" si="13"/>
        <v>31.999999999999964</v>
      </c>
    </row>
    <row r="87" spans="1:21" x14ac:dyDescent="0.2">
      <c r="A87" s="20">
        <v>2345</v>
      </c>
      <c r="B87" s="25"/>
      <c r="C87" s="1">
        <v>8</v>
      </c>
      <c r="D87" s="1"/>
      <c r="E87" s="1"/>
      <c r="F87" s="1">
        <v>16</v>
      </c>
      <c r="G87" s="1">
        <v>4</v>
      </c>
      <c r="H87" s="1">
        <v>1002</v>
      </c>
      <c r="I87" s="1">
        <v>1092</v>
      </c>
      <c r="J87" s="1">
        <v>1036.5</v>
      </c>
      <c r="K87" s="1">
        <f t="shared" si="7"/>
        <v>90</v>
      </c>
      <c r="L87" s="1">
        <f t="shared" si="8"/>
        <v>34.5</v>
      </c>
      <c r="M87" s="1">
        <f t="shared" si="9"/>
        <v>61.666666666666671</v>
      </c>
      <c r="N87" s="13">
        <v>0.41249999999999998</v>
      </c>
      <c r="O87" s="23">
        <v>0.5625</v>
      </c>
      <c r="P87" s="14">
        <v>0.33333333333333331</v>
      </c>
      <c r="Q87" s="15">
        <f t="shared" si="11"/>
        <v>480</v>
      </c>
      <c r="R87" s="23">
        <v>0.44027777777777777</v>
      </c>
      <c r="S87" s="23">
        <v>0.44583333333333336</v>
      </c>
      <c r="T87" s="14">
        <f t="shared" si="12"/>
        <v>5.5555555555555913E-3</v>
      </c>
      <c r="U87" s="15">
        <f t="shared" si="13"/>
        <v>8.0000000000000515</v>
      </c>
    </row>
    <row r="88" spans="1:21" x14ac:dyDescent="0.2">
      <c r="A88" s="24">
        <v>2346</v>
      </c>
      <c r="B88" s="25"/>
      <c r="C88" s="1">
        <v>6</v>
      </c>
      <c r="D88" s="1"/>
      <c r="E88" s="1"/>
      <c r="F88" s="1">
        <v>10</v>
      </c>
      <c r="G88" s="1">
        <v>4</v>
      </c>
      <c r="H88" s="1">
        <v>1024.5</v>
      </c>
      <c r="I88" s="1">
        <v>1126.5</v>
      </c>
      <c r="J88" s="1">
        <v>1062</v>
      </c>
      <c r="K88" s="1">
        <f t="shared" si="7"/>
        <v>102</v>
      </c>
      <c r="L88" s="1">
        <f t="shared" si="8"/>
        <v>37.5</v>
      </c>
      <c r="M88" s="1">
        <f t="shared" si="9"/>
        <v>63.235294117647058</v>
      </c>
      <c r="N88" s="13">
        <v>0.41249999999999998</v>
      </c>
      <c r="O88" s="23">
        <v>0.5625</v>
      </c>
      <c r="P88" s="14">
        <f t="shared" si="10"/>
        <v>0.15000000000000002</v>
      </c>
      <c r="Q88" s="15">
        <f t="shared" si="11"/>
        <v>216.00000000000003</v>
      </c>
      <c r="R88" s="23">
        <v>0.44305555555555554</v>
      </c>
      <c r="S88" s="23">
        <v>0.4513888888888889</v>
      </c>
      <c r="T88" s="14">
        <f t="shared" si="12"/>
        <v>8.3333333333333592E-3</v>
      </c>
      <c r="U88" s="15">
        <f t="shared" si="13"/>
        <v>12.000000000000037</v>
      </c>
    </row>
    <row r="89" spans="1:21" x14ac:dyDescent="0.2">
      <c r="A89" s="20">
        <v>2347</v>
      </c>
      <c r="B89" s="12"/>
      <c r="C89" s="1">
        <v>3</v>
      </c>
      <c r="F89" s="1">
        <v>4</v>
      </c>
      <c r="G89" s="1">
        <v>3</v>
      </c>
      <c r="H89" s="1">
        <v>1003.5</v>
      </c>
      <c r="I89" s="1">
        <v>1029</v>
      </c>
      <c r="J89" s="1">
        <v>1021.5</v>
      </c>
      <c r="K89" s="1">
        <f t="shared" si="7"/>
        <v>25.5</v>
      </c>
      <c r="L89" s="1">
        <f t="shared" si="8"/>
        <v>18</v>
      </c>
      <c r="M89" s="1">
        <f t="shared" si="9"/>
        <v>29.411764705882355</v>
      </c>
      <c r="N89" s="13">
        <v>0.41249999999999998</v>
      </c>
      <c r="O89" s="23">
        <v>0.625</v>
      </c>
      <c r="P89" s="14">
        <f t="shared" si="10"/>
        <v>0.21250000000000002</v>
      </c>
      <c r="Q89" s="15">
        <f>P89*1440</f>
        <v>306.00000000000006</v>
      </c>
      <c r="R89" s="23">
        <v>0.44513888888888886</v>
      </c>
      <c r="S89" s="23">
        <v>0.46527777777777779</v>
      </c>
      <c r="T89" s="14">
        <f t="shared" si="12"/>
        <v>2.0138888888888928E-2</v>
      </c>
      <c r="U89" s="15">
        <f>T89*1440</f>
        <v>29.000000000000057</v>
      </c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3"/>
      <c r="O90" s="23"/>
      <c r="P90" s="14"/>
      <c r="Q90" s="15"/>
      <c r="R90" s="23"/>
      <c r="S90" s="23"/>
      <c r="T90" s="14"/>
      <c r="U90" s="15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3"/>
      <c r="O91" s="23"/>
      <c r="P91" s="14"/>
      <c r="Q91" s="15"/>
      <c r="R91" s="23"/>
      <c r="S91" s="23"/>
      <c r="T91" s="14"/>
      <c r="U91" s="15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3"/>
      <c r="O92" s="23"/>
      <c r="P92" s="14"/>
      <c r="Q92" s="15"/>
      <c r="R92" s="23"/>
      <c r="S92" s="23"/>
      <c r="T92" s="14"/>
      <c r="U92" s="15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3"/>
      <c r="O93" s="23"/>
      <c r="P93" s="14"/>
      <c r="Q93" s="15"/>
      <c r="R93" s="23"/>
      <c r="S93" s="23"/>
      <c r="T93" s="14"/>
      <c r="U9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F312-AE50-944C-96EB-06A79F6D81D3}">
  <dimension ref="A1:U90"/>
  <sheetViews>
    <sheetView topLeftCell="I45" zoomScale="110" zoomScaleNormal="110" workbookViewId="0">
      <selection activeCell="U58" sqref="U58:U76"/>
    </sheetView>
  </sheetViews>
  <sheetFormatPr baseColWidth="10" defaultRowHeight="16" x14ac:dyDescent="0.2"/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">
      <c r="A4" s="3" t="s">
        <v>1</v>
      </c>
      <c r="B4" s="3" t="s">
        <v>2</v>
      </c>
      <c r="C4" s="3" t="s">
        <v>3</v>
      </c>
      <c r="D4" s="1"/>
      <c r="E4" s="1"/>
      <c r="F4" s="3" t="s">
        <v>4</v>
      </c>
      <c r="G4" s="1"/>
      <c r="H4" s="1"/>
      <c r="I4" s="3" t="s">
        <v>5</v>
      </c>
      <c r="J4" s="1"/>
      <c r="K4" s="1"/>
      <c r="L4" s="3" t="s">
        <v>6</v>
      </c>
      <c r="M4" s="1"/>
      <c r="N4" s="1"/>
      <c r="O4" s="3" t="s">
        <v>7</v>
      </c>
      <c r="P4" s="3" t="s">
        <v>8</v>
      </c>
      <c r="Q4" s="1"/>
      <c r="R4" s="1"/>
      <c r="S4" s="1"/>
      <c r="T4" s="1"/>
      <c r="U4" s="1"/>
    </row>
    <row r="5" spans="1:21" x14ac:dyDescent="0.2">
      <c r="A5" s="19">
        <v>45629</v>
      </c>
      <c r="B5" s="4"/>
      <c r="C5" s="4" t="s">
        <v>9</v>
      </c>
      <c r="D5" s="4">
        <v>2</v>
      </c>
      <c r="E5" s="5" t="s">
        <v>10</v>
      </c>
      <c r="F5" s="4" t="s">
        <v>11</v>
      </c>
      <c r="G5" s="4" t="s">
        <v>12</v>
      </c>
      <c r="H5" s="5" t="s">
        <v>13</v>
      </c>
      <c r="I5" s="4">
        <v>1</v>
      </c>
      <c r="J5" s="4">
        <v>2</v>
      </c>
      <c r="K5" s="5" t="s">
        <v>10</v>
      </c>
      <c r="L5" s="4">
        <v>1</v>
      </c>
      <c r="M5" s="4">
        <v>2</v>
      </c>
      <c r="N5" s="5" t="s">
        <v>10</v>
      </c>
      <c r="O5" s="4"/>
      <c r="P5" s="4"/>
      <c r="Q5" s="1"/>
      <c r="R5" s="1"/>
      <c r="S5" s="1"/>
      <c r="T5" s="1"/>
      <c r="U5" s="1"/>
    </row>
    <row r="6" spans="1:21" x14ac:dyDescent="0.2">
      <c r="A6" s="10">
        <v>2352</v>
      </c>
      <c r="B6" s="6" t="s">
        <v>14</v>
      </c>
      <c r="C6" s="1">
        <v>5.4</v>
      </c>
      <c r="D6" s="1">
        <v>3.35</v>
      </c>
      <c r="E6">
        <f>AVERAGE(C6:D6)</f>
        <v>4.375</v>
      </c>
      <c r="F6" s="1">
        <v>6.66</v>
      </c>
      <c r="G6" s="1">
        <v>5.82</v>
      </c>
      <c r="H6" s="1">
        <f>AVERAGE(F6:G6)</f>
        <v>6.24</v>
      </c>
      <c r="I6" s="1">
        <v>60</v>
      </c>
      <c r="J6" s="1"/>
      <c r="K6" s="1">
        <f>AVERAGE(I6:J6)</f>
        <v>60</v>
      </c>
      <c r="L6" s="1">
        <v>2.35</v>
      </c>
      <c r="M6" s="1">
        <v>2</v>
      </c>
      <c r="N6" s="1">
        <f>AVERAGE(L6:M6)</f>
        <v>2.1749999999999998</v>
      </c>
      <c r="O6" s="1">
        <v>1</v>
      </c>
      <c r="P6" s="1"/>
      <c r="Q6" s="1"/>
      <c r="R6" s="1"/>
      <c r="S6" s="1"/>
      <c r="T6" s="1"/>
      <c r="U6" s="1"/>
    </row>
    <row r="7" spans="1:21" x14ac:dyDescent="0.2">
      <c r="A7" s="10">
        <v>2353</v>
      </c>
      <c r="B7" s="7"/>
      <c r="C7" s="1">
        <v>3.28</v>
      </c>
      <c r="D7" s="1">
        <v>3.07</v>
      </c>
      <c r="E7">
        <f t="shared" ref="E7:E24" si="0">AVERAGE(C7:D7)</f>
        <v>3.1749999999999998</v>
      </c>
      <c r="F7">
        <v>7.44</v>
      </c>
      <c r="G7" s="1">
        <v>3.16</v>
      </c>
      <c r="H7" s="1">
        <f t="shared" ref="H7:H24" si="1">AVERAGE(F7:G7)</f>
        <v>5.3000000000000007</v>
      </c>
      <c r="I7" s="1">
        <v>60</v>
      </c>
      <c r="J7" s="1"/>
      <c r="K7" s="1">
        <f t="shared" ref="K7:K22" si="2">AVERAGE(I7:J7)</f>
        <v>60</v>
      </c>
      <c r="L7" s="1">
        <v>1.36</v>
      </c>
      <c r="M7" s="1">
        <v>1.1499999999999999</v>
      </c>
      <c r="N7" s="1">
        <f t="shared" ref="N7:N24" si="3">AVERAGE(L7:M7)</f>
        <v>1.2549999999999999</v>
      </c>
      <c r="O7" s="1">
        <v>0</v>
      </c>
      <c r="P7" s="1"/>
      <c r="Q7" s="1"/>
      <c r="R7" s="1"/>
      <c r="S7" s="1"/>
      <c r="T7" s="1"/>
      <c r="U7" s="1"/>
    </row>
    <row r="8" spans="1:21" x14ac:dyDescent="0.2">
      <c r="A8" s="11">
        <v>2359</v>
      </c>
      <c r="B8" s="7"/>
      <c r="C8" s="1">
        <v>2.4700000000000002</v>
      </c>
      <c r="D8" s="1">
        <v>1.8</v>
      </c>
      <c r="E8">
        <f t="shared" si="0"/>
        <v>2.1350000000000002</v>
      </c>
      <c r="F8" s="1">
        <v>2.61</v>
      </c>
      <c r="G8" s="1">
        <v>2.98</v>
      </c>
      <c r="H8" s="1">
        <f t="shared" si="1"/>
        <v>2.7949999999999999</v>
      </c>
      <c r="I8" s="1">
        <v>60</v>
      </c>
      <c r="J8" s="1"/>
      <c r="K8" s="1">
        <f t="shared" si="2"/>
        <v>60</v>
      </c>
      <c r="L8" s="1">
        <v>0.98</v>
      </c>
      <c r="M8" s="1">
        <v>1.01</v>
      </c>
      <c r="N8" s="1">
        <f t="shared" si="3"/>
        <v>0.995</v>
      </c>
      <c r="O8" s="1">
        <v>1.5</v>
      </c>
      <c r="P8" s="1"/>
      <c r="Q8" s="1"/>
      <c r="R8" s="1"/>
      <c r="S8" s="1"/>
      <c r="T8" s="1"/>
      <c r="U8" s="1"/>
    </row>
    <row r="9" spans="1:21" x14ac:dyDescent="0.2">
      <c r="A9" s="11">
        <v>2360</v>
      </c>
      <c r="B9" s="7"/>
      <c r="C9" s="1">
        <v>2.2999999999999998</v>
      </c>
      <c r="D9" s="1">
        <v>2.13</v>
      </c>
      <c r="E9">
        <f t="shared" si="0"/>
        <v>2.2149999999999999</v>
      </c>
      <c r="F9" s="1">
        <v>6.14</v>
      </c>
      <c r="G9" s="1">
        <v>6.97</v>
      </c>
      <c r="H9" s="1">
        <f t="shared" si="1"/>
        <v>6.5549999999999997</v>
      </c>
      <c r="I9" s="1">
        <v>60</v>
      </c>
      <c r="J9" s="1"/>
      <c r="K9" s="1">
        <f t="shared" si="2"/>
        <v>60</v>
      </c>
      <c r="L9" s="1">
        <v>1.1000000000000001</v>
      </c>
      <c r="M9" s="1">
        <v>1.35</v>
      </c>
      <c r="N9" s="1">
        <f t="shared" si="3"/>
        <v>1.2250000000000001</v>
      </c>
      <c r="O9" s="1">
        <v>1.5</v>
      </c>
      <c r="P9" s="1"/>
      <c r="Q9" s="1"/>
      <c r="R9" s="1"/>
      <c r="S9" s="1"/>
      <c r="T9" s="1"/>
      <c r="U9" s="1"/>
    </row>
    <row r="10" spans="1:21" x14ac:dyDescent="0.2">
      <c r="A10" s="10">
        <v>2371</v>
      </c>
      <c r="B10" s="7"/>
      <c r="C10" s="1">
        <v>4.6900000000000004</v>
      </c>
      <c r="D10" s="1">
        <v>2.4</v>
      </c>
      <c r="E10">
        <f t="shared" si="0"/>
        <v>3.5449999999999999</v>
      </c>
      <c r="F10" s="1">
        <v>5.6</v>
      </c>
      <c r="G10" s="1">
        <v>5.31</v>
      </c>
      <c r="H10" s="1">
        <f t="shared" si="1"/>
        <v>5.4550000000000001</v>
      </c>
      <c r="I10" s="1">
        <v>60</v>
      </c>
      <c r="J10" s="1"/>
      <c r="K10" s="1">
        <f t="shared" si="2"/>
        <v>60</v>
      </c>
      <c r="L10" s="1">
        <v>1.43</v>
      </c>
      <c r="M10" s="1">
        <v>1.48</v>
      </c>
      <c r="N10" s="1">
        <f t="shared" si="3"/>
        <v>1.4550000000000001</v>
      </c>
      <c r="O10" s="1">
        <v>0</v>
      </c>
      <c r="P10" s="1"/>
      <c r="Q10" s="1"/>
      <c r="R10" s="1"/>
      <c r="S10" s="1"/>
      <c r="T10" s="1"/>
      <c r="U10" s="1"/>
    </row>
    <row r="11" spans="1:21" x14ac:dyDescent="0.2">
      <c r="A11" s="10">
        <v>2372</v>
      </c>
      <c r="B11" s="7"/>
      <c r="C11" s="1">
        <v>2.37</v>
      </c>
      <c r="D11" s="1">
        <v>1.91</v>
      </c>
      <c r="E11">
        <f t="shared" si="0"/>
        <v>2.14</v>
      </c>
      <c r="F11" s="1">
        <v>5.12</v>
      </c>
      <c r="G11" s="1">
        <v>4.32</v>
      </c>
      <c r="H11" s="1">
        <f t="shared" si="1"/>
        <v>4.7200000000000006</v>
      </c>
      <c r="I11" s="1">
        <v>60</v>
      </c>
      <c r="J11" s="1"/>
      <c r="K11" s="1">
        <f t="shared" si="2"/>
        <v>60</v>
      </c>
      <c r="L11" s="1">
        <v>2.17</v>
      </c>
      <c r="M11" s="1">
        <v>1.68</v>
      </c>
      <c r="N11" s="1">
        <f t="shared" si="3"/>
        <v>1.9249999999999998</v>
      </c>
      <c r="O11" s="1">
        <v>0</v>
      </c>
      <c r="P11" s="1"/>
      <c r="Q11" s="1"/>
      <c r="R11" s="1"/>
      <c r="S11" s="1"/>
      <c r="T11" s="1"/>
      <c r="U11" s="1"/>
    </row>
    <row r="12" spans="1:21" x14ac:dyDescent="0.2">
      <c r="A12" s="10">
        <v>2375</v>
      </c>
      <c r="B12" s="7"/>
      <c r="C12" s="1">
        <v>5.14</v>
      </c>
      <c r="D12" s="1">
        <v>3.02</v>
      </c>
      <c r="E12">
        <f t="shared" si="0"/>
        <v>4.08</v>
      </c>
      <c r="F12" s="1">
        <v>5.22</v>
      </c>
      <c r="G12" s="1">
        <v>4.74</v>
      </c>
      <c r="H12" s="1">
        <f t="shared" si="1"/>
        <v>4.9800000000000004</v>
      </c>
      <c r="I12" s="1">
        <v>41.04</v>
      </c>
      <c r="J12" s="1"/>
      <c r="K12" s="1">
        <f t="shared" si="2"/>
        <v>41.04</v>
      </c>
      <c r="L12" s="1">
        <v>1.35</v>
      </c>
      <c r="M12" s="1">
        <v>1.97</v>
      </c>
      <c r="N12" s="1">
        <f t="shared" si="3"/>
        <v>1.6600000000000001</v>
      </c>
      <c r="O12" s="1">
        <v>0</v>
      </c>
      <c r="P12" s="1"/>
      <c r="Q12" s="1"/>
      <c r="R12" s="1"/>
      <c r="S12" s="1"/>
      <c r="T12" s="1"/>
      <c r="U12" s="1"/>
    </row>
    <row r="13" spans="1:21" x14ac:dyDescent="0.2">
      <c r="A13" s="10">
        <v>2376</v>
      </c>
      <c r="B13" s="7"/>
      <c r="C13" s="1">
        <v>3.37</v>
      </c>
      <c r="D13" s="1">
        <v>2.77</v>
      </c>
      <c r="E13">
        <f t="shared" si="0"/>
        <v>3.0700000000000003</v>
      </c>
      <c r="F13" s="1">
        <v>4.09</v>
      </c>
      <c r="G13" s="1">
        <v>4.05</v>
      </c>
      <c r="H13" s="1">
        <f t="shared" si="1"/>
        <v>4.07</v>
      </c>
      <c r="I13" s="1">
        <v>60</v>
      </c>
      <c r="J13" s="1"/>
      <c r="K13" s="1">
        <f t="shared" si="2"/>
        <v>60</v>
      </c>
      <c r="L13" s="1">
        <v>1.05</v>
      </c>
      <c r="M13" s="1">
        <v>1.23</v>
      </c>
      <c r="N13" s="1">
        <f t="shared" si="3"/>
        <v>1.1400000000000001</v>
      </c>
      <c r="O13" s="1">
        <v>1</v>
      </c>
      <c r="P13" s="1"/>
      <c r="Q13" s="1"/>
      <c r="R13" s="1"/>
      <c r="S13" s="1"/>
      <c r="T13" s="1"/>
      <c r="U13" s="1"/>
    </row>
    <row r="14" spans="1:21" x14ac:dyDescent="0.2">
      <c r="A14" s="11">
        <v>2354</v>
      </c>
      <c r="B14" s="9" t="s">
        <v>15</v>
      </c>
      <c r="C14" s="1">
        <v>10.210000000000001</v>
      </c>
      <c r="D14" s="1">
        <v>5.5</v>
      </c>
      <c r="E14">
        <f t="shared" si="0"/>
        <v>7.8550000000000004</v>
      </c>
      <c r="F14" s="1">
        <v>7.47</v>
      </c>
      <c r="G14" s="1">
        <v>6.35</v>
      </c>
      <c r="H14" s="1">
        <f t="shared" si="1"/>
        <v>6.91</v>
      </c>
      <c r="I14" s="1">
        <v>15.93</v>
      </c>
      <c r="J14" s="1">
        <v>15.08</v>
      </c>
      <c r="K14" s="1">
        <f t="shared" si="2"/>
        <v>15.504999999999999</v>
      </c>
      <c r="L14" s="1">
        <v>2.4</v>
      </c>
      <c r="M14" s="1">
        <v>7.38</v>
      </c>
      <c r="N14" s="1">
        <f t="shared" si="3"/>
        <v>4.8899999999999997</v>
      </c>
      <c r="O14" s="1">
        <v>2</v>
      </c>
      <c r="P14" s="1"/>
      <c r="Q14" s="1"/>
      <c r="R14" s="1"/>
      <c r="S14" s="1"/>
      <c r="T14" s="1"/>
      <c r="U14" s="1"/>
    </row>
    <row r="15" spans="1:21" x14ac:dyDescent="0.2">
      <c r="A15" s="11">
        <v>2355</v>
      </c>
      <c r="B15" s="9"/>
      <c r="C15" s="1">
        <v>9.31</v>
      </c>
      <c r="D15" s="1">
        <v>16.809999999999999</v>
      </c>
      <c r="E15">
        <f t="shared" si="0"/>
        <v>13.059999999999999</v>
      </c>
      <c r="F15" s="1">
        <v>6.35</v>
      </c>
      <c r="G15" s="1">
        <v>7.74</v>
      </c>
      <c r="H15" s="1">
        <f t="shared" si="1"/>
        <v>7.0449999999999999</v>
      </c>
      <c r="I15" s="1">
        <v>15.38</v>
      </c>
      <c r="J15" s="1">
        <v>6.99</v>
      </c>
      <c r="K15" s="1">
        <f t="shared" si="2"/>
        <v>11.185</v>
      </c>
      <c r="L15" s="1">
        <v>2.75</v>
      </c>
      <c r="M15" s="1">
        <v>2.97</v>
      </c>
      <c r="N15" s="1">
        <f t="shared" si="3"/>
        <v>2.8600000000000003</v>
      </c>
      <c r="O15" s="1">
        <v>2.5</v>
      </c>
      <c r="P15" s="1"/>
      <c r="Q15" s="1"/>
      <c r="R15" s="1"/>
      <c r="S15" s="1"/>
      <c r="T15" s="1"/>
      <c r="U15" s="1"/>
    </row>
    <row r="16" spans="1:21" x14ac:dyDescent="0.2">
      <c r="A16" s="10">
        <v>2374</v>
      </c>
      <c r="B16" s="9"/>
      <c r="C16" s="1">
        <v>7.47</v>
      </c>
      <c r="D16" s="1">
        <v>8.9600000000000009</v>
      </c>
      <c r="E16">
        <f t="shared" si="0"/>
        <v>8.2149999999999999</v>
      </c>
      <c r="F16" s="1">
        <v>8.7799999999999994</v>
      </c>
      <c r="G16" s="1">
        <v>8.26</v>
      </c>
      <c r="H16" s="1">
        <f t="shared" si="1"/>
        <v>8.52</v>
      </c>
      <c r="I16" s="1">
        <v>13.97</v>
      </c>
      <c r="J16" s="1">
        <v>17.66</v>
      </c>
      <c r="K16" s="1">
        <f t="shared" si="2"/>
        <v>15.815000000000001</v>
      </c>
      <c r="L16" s="1">
        <v>3.2</v>
      </c>
      <c r="M16" s="1">
        <v>4.84</v>
      </c>
      <c r="N16" s="1">
        <f t="shared" si="3"/>
        <v>4.0199999999999996</v>
      </c>
      <c r="O16" s="1">
        <v>1</v>
      </c>
      <c r="P16" s="1"/>
      <c r="Q16" s="1"/>
      <c r="R16" s="1"/>
      <c r="S16" s="1"/>
      <c r="T16" s="1"/>
      <c r="U16" s="1"/>
    </row>
    <row r="17" spans="1:21" x14ac:dyDescent="0.2">
      <c r="A17" s="10">
        <v>2377</v>
      </c>
      <c r="B17" s="9"/>
      <c r="C17" s="1">
        <v>6.91</v>
      </c>
      <c r="D17" s="1">
        <v>3.98</v>
      </c>
      <c r="E17">
        <f t="shared" si="0"/>
        <v>5.4450000000000003</v>
      </c>
      <c r="F17" s="1">
        <v>14.82</v>
      </c>
      <c r="G17" s="1">
        <v>9.31</v>
      </c>
      <c r="H17" s="1">
        <f t="shared" si="1"/>
        <v>12.065000000000001</v>
      </c>
      <c r="I17" s="1">
        <v>16.46</v>
      </c>
      <c r="J17" s="1">
        <v>10.88</v>
      </c>
      <c r="K17" s="1">
        <f t="shared" si="2"/>
        <v>13.670000000000002</v>
      </c>
      <c r="L17" s="1">
        <v>8.48</v>
      </c>
      <c r="M17" s="1">
        <v>10.3</v>
      </c>
      <c r="N17" s="1">
        <f t="shared" si="3"/>
        <v>9.39</v>
      </c>
      <c r="O17" s="1">
        <v>2</v>
      </c>
      <c r="P17" s="1"/>
      <c r="Q17" s="1"/>
      <c r="R17" s="1"/>
      <c r="S17" s="1"/>
      <c r="T17" s="1"/>
      <c r="U17" s="1"/>
    </row>
    <row r="18" spans="1:21" x14ac:dyDescent="0.2">
      <c r="A18" s="10">
        <v>2370</v>
      </c>
      <c r="B18" s="9"/>
      <c r="C18" s="1">
        <v>2.73</v>
      </c>
      <c r="D18" s="1">
        <v>1.95</v>
      </c>
      <c r="E18">
        <f t="shared" si="0"/>
        <v>2.34</v>
      </c>
      <c r="F18" s="1">
        <v>6.56</v>
      </c>
      <c r="G18" s="1">
        <v>7.47</v>
      </c>
      <c r="H18" s="1">
        <f t="shared" si="1"/>
        <v>7.0149999999999997</v>
      </c>
      <c r="I18" s="1">
        <v>19.27</v>
      </c>
      <c r="J18" s="1">
        <v>12.34</v>
      </c>
      <c r="K18" s="1">
        <f t="shared" si="2"/>
        <v>15.805</v>
      </c>
      <c r="L18" s="1">
        <v>2.98</v>
      </c>
      <c r="M18" s="1">
        <v>2.25</v>
      </c>
      <c r="N18" s="1">
        <f t="shared" si="3"/>
        <v>2.6150000000000002</v>
      </c>
      <c r="O18" s="1">
        <v>1.5</v>
      </c>
      <c r="P18" s="1" t="s">
        <v>53</v>
      </c>
      <c r="Q18" s="1"/>
      <c r="R18" s="1"/>
      <c r="S18" s="1"/>
      <c r="T18" s="1"/>
      <c r="U18" s="1"/>
    </row>
    <row r="19" spans="1:21" x14ac:dyDescent="0.2">
      <c r="A19" s="20">
        <v>2356</v>
      </c>
      <c r="B19" s="12" t="s">
        <v>43</v>
      </c>
      <c r="C19" s="1">
        <v>7.92</v>
      </c>
      <c r="D19" s="1">
        <v>10.210000000000001</v>
      </c>
      <c r="E19">
        <f t="shared" si="0"/>
        <v>9.0650000000000013</v>
      </c>
      <c r="F19" s="1">
        <v>11.97</v>
      </c>
      <c r="G19" s="1">
        <v>9.15</v>
      </c>
      <c r="H19" s="1">
        <f t="shared" si="1"/>
        <v>10.56</v>
      </c>
      <c r="I19" s="1">
        <v>24.76</v>
      </c>
      <c r="J19" s="1"/>
      <c r="K19" s="1">
        <f t="shared" si="2"/>
        <v>24.76</v>
      </c>
      <c r="L19" s="1">
        <v>1.6</v>
      </c>
      <c r="M19" s="1">
        <v>1.31</v>
      </c>
      <c r="N19" s="1">
        <f>AVERAGE(L19:M19)</f>
        <v>1.4550000000000001</v>
      </c>
      <c r="O19" s="1">
        <v>0</v>
      </c>
      <c r="P19" s="1"/>
      <c r="Q19" s="1"/>
      <c r="R19" s="1"/>
      <c r="S19" s="1"/>
      <c r="T19" s="1"/>
      <c r="U19" s="1"/>
    </row>
    <row r="20" spans="1:21" x14ac:dyDescent="0.2">
      <c r="A20" s="20">
        <v>2357</v>
      </c>
      <c r="B20" s="12"/>
      <c r="C20" s="1">
        <v>10.93</v>
      </c>
      <c r="D20" s="1">
        <v>9.61</v>
      </c>
      <c r="E20">
        <f t="shared" si="0"/>
        <v>10.27</v>
      </c>
      <c r="F20" s="1">
        <v>12.05</v>
      </c>
      <c r="G20" s="1">
        <v>10.199999999999999</v>
      </c>
      <c r="H20" s="1">
        <f t="shared" si="1"/>
        <v>11.125</v>
      </c>
      <c r="I20" s="1">
        <v>17.23</v>
      </c>
      <c r="J20" s="1"/>
      <c r="K20" s="1">
        <f t="shared" si="2"/>
        <v>17.23</v>
      </c>
      <c r="L20" s="1">
        <v>1.98</v>
      </c>
      <c r="M20" s="1">
        <v>5.24</v>
      </c>
      <c r="N20" s="1">
        <f t="shared" si="3"/>
        <v>3.6100000000000003</v>
      </c>
      <c r="O20" s="1">
        <v>0</v>
      </c>
      <c r="P20" s="1"/>
      <c r="Q20" s="1"/>
      <c r="R20" s="1"/>
      <c r="S20" s="1"/>
      <c r="T20" s="1"/>
      <c r="U20" s="1"/>
    </row>
    <row r="21" spans="1:21" x14ac:dyDescent="0.2">
      <c r="A21" s="21">
        <v>2358</v>
      </c>
      <c r="B21" s="12"/>
      <c r="C21" s="1">
        <v>5.64</v>
      </c>
      <c r="D21" s="1">
        <v>4.9000000000000004</v>
      </c>
      <c r="E21">
        <f t="shared" si="0"/>
        <v>5.27</v>
      </c>
      <c r="F21" s="1">
        <v>4.95</v>
      </c>
      <c r="G21" s="1">
        <v>3.45</v>
      </c>
      <c r="H21" s="1">
        <f t="shared" si="1"/>
        <v>4.2</v>
      </c>
      <c r="I21" s="1">
        <v>7.19</v>
      </c>
      <c r="J21" s="1">
        <v>6.74</v>
      </c>
      <c r="K21" s="1">
        <f t="shared" si="2"/>
        <v>6.9649999999999999</v>
      </c>
      <c r="L21" s="1">
        <v>3.19</v>
      </c>
      <c r="M21" s="1">
        <v>3.64</v>
      </c>
      <c r="N21" s="1">
        <f t="shared" si="3"/>
        <v>3.415</v>
      </c>
      <c r="O21" s="1">
        <v>0</v>
      </c>
      <c r="P21" s="1"/>
      <c r="Q21" s="1"/>
      <c r="R21" s="1"/>
      <c r="S21" s="1"/>
      <c r="T21" s="1"/>
      <c r="U21" s="1"/>
    </row>
    <row r="22" spans="1:21" x14ac:dyDescent="0.2">
      <c r="A22" s="21">
        <v>2361</v>
      </c>
      <c r="B22" s="12"/>
      <c r="C22" s="1">
        <v>7.49</v>
      </c>
      <c r="D22" s="1">
        <v>6.82</v>
      </c>
      <c r="E22">
        <f t="shared" si="0"/>
        <v>7.1550000000000002</v>
      </c>
      <c r="F22" s="1">
        <v>4.8899999999999997</v>
      </c>
      <c r="G22" s="1">
        <v>4.9400000000000004</v>
      </c>
      <c r="H22" s="1">
        <f t="shared" si="1"/>
        <v>4.915</v>
      </c>
      <c r="I22" s="1">
        <v>4</v>
      </c>
      <c r="J22" s="1">
        <v>7.06</v>
      </c>
      <c r="K22" s="1">
        <f t="shared" si="2"/>
        <v>5.5299999999999994</v>
      </c>
      <c r="L22" s="1">
        <v>2.12</v>
      </c>
      <c r="M22" s="1">
        <v>1.56</v>
      </c>
      <c r="N22" s="1">
        <f t="shared" si="3"/>
        <v>1.84</v>
      </c>
      <c r="O22" s="1">
        <v>0.5</v>
      </c>
      <c r="P22" s="1"/>
      <c r="Q22" s="1"/>
      <c r="R22" s="1"/>
      <c r="S22" s="1"/>
      <c r="T22" s="1"/>
      <c r="U22" s="1"/>
    </row>
    <row r="23" spans="1:21" x14ac:dyDescent="0.2">
      <c r="A23" s="20">
        <v>2368</v>
      </c>
      <c r="B23" s="12"/>
      <c r="C23" s="22" t="s">
        <v>49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21" x14ac:dyDescent="0.2">
      <c r="A24" s="20">
        <v>2362</v>
      </c>
      <c r="B24" s="12"/>
      <c r="C24" s="1">
        <v>5.99</v>
      </c>
      <c r="D24" s="1">
        <v>2.92</v>
      </c>
      <c r="E24">
        <f t="shared" si="0"/>
        <v>4.4550000000000001</v>
      </c>
      <c r="F24" s="1">
        <v>3.67</v>
      </c>
      <c r="G24" s="1">
        <v>3.43</v>
      </c>
      <c r="H24" s="1">
        <f t="shared" si="1"/>
        <v>3.55</v>
      </c>
      <c r="I24" t="s">
        <v>50</v>
      </c>
      <c r="K24" s="1"/>
      <c r="L24" s="1">
        <v>1.1100000000000001</v>
      </c>
      <c r="M24" s="1">
        <v>2.35</v>
      </c>
      <c r="N24" s="1">
        <f t="shared" si="3"/>
        <v>1.73</v>
      </c>
      <c r="O24" s="1">
        <v>0</v>
      </c>
    </row>
    <row r="27" spans="1:21" x14ac:dyDescent="0.2">
      <c r="A27" s="1"/>
      <c r="B27" s="1"/>
      <c r="C27" s="1"/>
      <c r="D27" s="1" t="s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"/>
      <c r="B28" s="1"/>
      <c r="C28" s="1"/>
      <c r="D28" s="3" t="s">
        <v>16</v>
      </c>
      <c r="E28" s="1"/>
      <c r="F28" s="1"/>
      <c r="G28" s="3" t="s">
        <v>17</v>
      </c>
      <c r="H28" s="1"/>
      <c r="I28" s="1"/>
      <c r="J28" s="3" t="s">
        <v>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B29" s="1"/>
      <c r="C29" s="1"/>
      <c r="D29" s="4">
        <v>1</v>
      </c>
      <c r="E29" s="4">
        <v>2</v>
      </c>
      <c r="F29" s="5" t="s">
        <v>10</v>
      </c>
      <c r="G29" s="4">
        <v>1</v>
      </c>
      <c r="H29" s="4">
        <v>2</v>
      </c>
      <c r="I29" s="5" t="s">
        <v>10</v>
      </c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"/>
      <c r="B30" s="10">
        <v>2352</v>
      </c>
      <c r="C30" s="6" t="s">
        <v>14</v>
      </c>
      <c r="D30" s="1">
        <v>12</v>
      </c>
      <c r="E30" s="1">
        <v>10</v>
      </c>
      <c r="F30" s="1">
        <f>AVERAGE(D30:E30)</f>
        <v>11</v>
      </c>
      <c r="G30" s="1">
        <v>1</v>
      </c>
      <c r="H30" s="1">
        <v>2</v>
      </c>
      <c r="I30" s="1">
        <f>AVERAGE(G30:H30)</f>
        <v>1.5</v>
      </c>
      <c r="J30" s="1">
        <f>I30/F30</f>
        <v>0.13636363636363635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"/>
      <c r="B31" s="10">
        <v>2353</v>
      </c>
      <c r="C31" s="7"/>
      <c r="D31" s="1">
        <v>10</v>
      </c>
      <c r="E31" s="1">
        <v>10</v>
      </c>
      <c r="F31" s="1">
        <f t="shared" ref="F31:F48" si="4">AVERAGE(D31:E31)</f>
        <v>10</v>
      </c>
      <c r="G31" s="1">
        <v>2</v>
      </c>
      <c r="H31" s="1">
        <v>2</v>
      </c>
      <c r="I31" s="1">
        <f t="shared" ref="I31:I48" si="5">AVERAGE(G31:H31)</f>
        <v>2</v>
      </c>
      <c r="J31" s="1">
        <f t="shared" ref="J31:J48" si="6">I31/F31</f>
        <v>0.2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"/>
      <c r="B32" s="11">
        <v>2359</v>
      </c>
      <c r="C32" s="7"/>
      <c r="D32" s="1">
        <v>9</v>
      </c>
      <c r="E32" s="1">
        <v>9</v>
      </c>
      <c r="F32" s="1">
        <f t="shared" si="4"/>
        <v>9</v>
      </c>
      <c r="G32" s="1">
        <v>0</v>
      </c>
      <c r="H32" s="1">
        <v>0</v>
      </c>
      <c r="I32" s="1">
        <f t="shared" si="5"/>
        <v>0</v>
      </c>
      <c r="J32" s="1">
        <f t="shared" si="6"/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"/>
      <c r="B33" s="11">
        <v>2360</v>
      </c>
      <c r="C33" s="7"/>
      <c r="D33" s="1">
        <v>9</v>
      </c>
      <c r="E33" s="1">
        <v>9</v>
      </c>
      <c r="F33" s="1">
        <f t="shared" si="4"/>
        <v>9</v>
      </c>
      <c r="G33" s="1">
        <v>0</v>
      </c>
      <c r="H33" s="1">
        <v>0</v>
      </c>
      <c r="I33" s="1">
        <f t="shared" si="5"/>
        <v>0</v>
      </c>
      <c r="J33" s="1">
        <f t="shared" si="6"/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"/>
      <c r="B34" s="10">
        <v>2371</v>
      </c>
      <c r="C34" s="7"/>
      <c r="D34" s="1">
        <v>11</v>
      </c>
      <c r="E34" s="1">
        <v>10</v>
      </c>
      <c r="F34" s="1">
        <f t="shared" si="4"/>
        <v>10.5</v>
      </c>
      <c r="G34" s="1">
        <v>3</v>
      </c>
      <c r="H34" s="1">
        <v>2</v>
      </c>
      <c r="I34" s="1">
        <f t="shared" si="5"/>
        <v>2.5</v>
      </c>
      <c r="J34" s="1">
        <f t="shared" si="6"/>
        <v>0.23809523809523808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B35" s="10">
        <v>2372</v>
      </c>
      <c r="C35" s="7"/>
      <c r="D35" s="1">
        <v>10</v>
      </c>
      <c r="E35" s="1">
        <v>9</v>
      </c>
      <c r="F35" s="1">
        <f t="shared" si="4"/>
        <v>9.5</v>
      </c>
      <c r="G35" s="1">
        <v>1</v>
      </c>
      <c r="H35" s="1">
        <v>0</v>
      </c>
      <c r="I35" s="1">
        <f t="shared" si="5"/>
        <v>0.5</v>
      </c>
      <c r="J35" s="1">
        <f t="shared" si="6"/>
        <v>5.2631578947368418E-2</v>
      </c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"/>
      <c r="B36" s="10">
        <v>2375</v>
      </c>
      <c r="C36" s="7"/>
      <c r="D36" s="1">
        <v>11</v>
      </c>
      <c r="E36" s="1">
        <v>10</v>
      </c>
      <c r="F36" s="1">
        <f t="shared" si="4"/>
        <v>10.5</v>
      </c>
      <c r="G36" s="1">
        <v>2</v>
      </c>
      <c r="H36" s="1">
        <v>3</v>
      </c>
      <c r="I36" s="1">
        <f t="shared" si="5"/>
        <v>2.5</v>
      </c>
      <c r="J36" s="1">
        <f t="shared" si="6"/>
        <v>0.23809523809523808</v>
      </c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"/>
      <c r="B37" s="10">
        <v>2376</v>
      </c>
      <c r="C37" s="7"/>
      <c r="D37" s="1">
        <v>11</v>
      </c>
      <c r="E37" s="1">
        <v>10</v>
      </c>
      <c r="F37" s="1">
        <f t="shared" si="4"/>
        <v>10.5</v>
      </c>
      <c r="G37" s="1">
        <v>2</v>
      </c>
      <c r="H37" s="1">
        <v>2</v>
      </c>
      <c r="I37" s="1">
        <f t="shared" si="5"/>
        <v>2</v>
      </c>
      <c r="J37" s="1">
        <f t="shared" si="6"/>
        <v>0.19047619047619047</v>
      </c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"/>
      <c r="B38" s="11">
        <v>2354</v>
      </c>
      <c r="C38" s="9" t="s">
        <v>15</v>
      </c>
      <c r="D38" s="1">
        <v>11</v>
      </c>
      <c r="E38" s="1">
        <v>11</v>
      </c>
      <c r="F38" s="1">
        <f t="shared" si="4"/>
        <v>11</v>
      </c>
      <c r="G38" s="1">
        <v>7</v>
      </c>
      <c r="H38" s="1">
        <v>8</v>
      </c>
      <c r="I38" s="1">
        <f t="shared" si="5"/>
        <v>7.5</v>
      </c>
      <c r="J38" s="1">
        <f t="shared" si="6"/>
        <v>0.68181818181818177</v>
      </c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"/>
      <c r="B39" s="11">
        <v>2355</v>
      </c>
      <c r="C39" s="9"/>
      <c r="D39" s="1">
        <v>13</v>
      </c>
      <c r="E39" s="1">
        <v>11</v>
      </c>
      <c r="F39" s="1">
        <f t="shared" si="4"/>
        <v>12</v>
      </c>
      <c r="G39" s="1">
        <v>10</v>
      </c>
      <c r="H39" s="1">
        <v>12</v>
      </c>
      <c r="I39" s="1">
        <f t="shared" si="5"/>
        <v>11</v>
      </c>
      <c r="J39" s="1">
        <f t="shared" si="6"/>
        <v>0.91666666666666663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1"/>
      <c r="B40" s="10">
        <v>2374</v>
      </c>
      <c r="C40" s="9"/>
      <c r="D40" s="1">
        <v>11</v>
      </c>
      <c r="E40" s="1">
        <v>10</v>
      </c>
      <c r="F40" s="1">
        <f t="shared" si="4"/>
        <v>10.5</v>
      </c>
      <c r="G40" s="1">
        <v>12</v>
      </c>
      <c r="H40" s="1">
        <v>10</v>
      </c>
      <c r="I40" s="1">
        <f t="shared" si="5"/>
        <v>11</v>
      </c>
      <c r="J40" s="1">
        <f t="shared" si="6"/>
        <v>1.0476190476190477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1"/>
      <c r="B41" s="10">
        <v>2377</v>
      </c>
      <c r="C41" s="9"/>
      <c r="D41" s="1">
        <v>12</v>
      </c>
      <c r="E41" s="1">
        <v>11</v>
      </c>
      <c r="F41" s="1">
        <f t="shared" si="4"/>
        <v>11.5</v>
      </c>
      <c r="G41" s="1">
        <v>8</v>
      </c>
      <c r="H41" s="1">
        <v>4</v>
      </c>
      <c r="I41" s="1">
        <f t="shared" si="5"/>
        <v>6</v>
      </c>
      <c r="J41" s="1">
        <f t="shared" si="6"/>
        <v>0.52173913043478259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1"/>
      <c r="B42" s="10">
        <v>2370</v>
      </c>
      <c r="C42" s="9"/>
      <c r="D42" s="1">
        <v>11</v>
      </c>
      <c r="E42" s="1">
        <v>9</v>
      </c>
      <c r="F42" s="1">
        <f t="shared" si="4"/>
        <v>10</v>
      </c>
      <c r="G42" s="1">
        <v>5</v>
      </c>
      <c r="H42" s="1">
        <v>1</v>
      </c>
      <c r="I42" s="1">
        <f t="shared" si="5"/>
        <v>3</v>
      </c>
      <c r="J42" s="1">
        <f t="shared" si="6"/>
        <v>0.3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B43" s="20">
        <v>2356</v>
      </c>
      <c r="C43" s="12" t="s">
        <v>43</v>
      </c>
      <c r="D43" s="1">
        <v>14</v>
      </c>
      <c r="E43" s="1">
        <v>10</v>
      </c>
      <c r="F43" s="1">
        <f t="shared" si="4"/>
        <v>12</v>
      </c>
      <c r="G43" s="1">
        <v>7</v>
      </c>
      <c r="H43" s="1">
        <v>5</v>
      </c>
      <c r="I43" s="1">
        <f t="shared" si="5"/>
        <v>6</v>
      </c>
      <c r="J43" s="1">
        <f t="shared" si="6"/>
        <v>0.5</v>
      </c>
      <c r="U43" s="1"/>
    </row>
    <row r="44" spans="1:21" x14ac:dyDescent="0.2">
      <c r="B44" s="20">
        <v>2357</v>
      </c>
      <c r="C44" s="12"/>
      <c r="D44" s="1">
        <v>12</v>
      </c>
      <c r="E44" s="1">
        <v>11</v>
      </c>
      <c r="F44" s="1">
        <f t="shared" si="4"/>
        <v>11.5</v>
      </c>
      <c r="G44" s="1">
        <v>8</v>
      </c>
      <c r="H44" s="1">
        <v>8</v>
      </c>
      <c r="I44" s="1">
        <f t="shared" si="5"/>
        <v>8</v>
      </c>
      <c r="J44" s="1">
        <f t="shared" si="6"/>
        <v>0.69565217391304346</v>
      </c>
    </row>
    <row r="45" spans="1:21" x14ac:dyDescent="0.2">
      <c r="B45" s="21">
        <v>2358</v>
      </c>
      <c r="C45" s="12"/>
      <c r="D45" s="1">
        <v>12</v>
      </c>
      <c r="E45" s="1">
        <v>10</v>
      </c>
      <c r="F45" s="1">
        <f t="shared" si="4"/>
        <v>11</v>
      </c>
      <c r="G45" s="1">
        <v>7</v>
      </c>
      <c r="H45" s="1">
        <v>8</v>
      </c>
      <c r="I45" s="1">
        <f t="shared" si="5"/>
        <v>7.5</v>
      </c>
      <c r="J45" s="1">
        <f t="shared" si="6"/>
        <v>0.68181818181818177</v>
      </c>
      <c r="U45" s="1"/>
    </row>
    <row r="46" spans="1:21" x14ac:dyDescent="0.2">
      <c r="B46" s="21">
        <v>2361</v>
      </c>
      <c r="C46" s="12"/>
      <c r="D46" s="1">
        <v>12</v>
      </c>
      <c r="E46" s="1">
        <v>11</v>
      </c>
      <c r="F46" s="1">
        <f t="shared" si="4"/>
        <v>11.5</v>
      </c>
      <c r="G46" s="1">
        <v>8</v>
      </c>
      <c r="H46" s="1">
        <v>8</v>
      </c>
      <c r="I46" s="1">
        <f t="shared" si="5"/>
        <v>8</v>
      </c>
      <c r="J46" s="1">
        <f t="shared" si="6"/>
        <v>0.69565217391304346</v>
      </c>
      <c r="U46" s="1"/>
    </row>
    <row r="47" spans="1:21" x14ac:dyDescent="0.2">
      <c r="B47" s="20">
        <v>2368</v>
      </c>
      <c r="C47" s="12"/>
      <c r="D47" s="22" t="s">
        <v>49</v>
      </c>
      <c r="E47" s="22"/>
      <c r="F47" s="22"/>
      <c r="G47" s="22"/>
      <c r="H47" s="22"/>
      <c r="I47" s="22"/>
      <c r="J47" s="22"/>
      <c r="U47" s="8" t="s">
        <v>41</v>
      </c>
    </row>
    <row r="48" spans="1:21" x14ac:dyDescent="0.2">
      <c r="B48" s="20">
        <v>2362</v>
      </c>
      <c r="C48" s="12"/>
      <c r="D48" s="1">
        <v>10</v>
      </c>
      <c r="E48" s="1">
        <v>12</v>
      </c>
      <c r="F48" s="1">
        <f t="shared" si="4"/>
        <v>11</v>
      </c>
      <c r="G48" s="1">
        <v>10</v>
      </c>
      <c r="H48" s="1">
        <v>8</v>
      </c>
      <c r="I48" s="1">
        <f t="shared" si="5"/>
        <v>9</v>
      </c>
      <c r="J48" s="1">
        <f t="shared" si="6"/>
        <v>0.81818181818181823</v>
      </c>
      <c r="U48" s="15"/>
    </row>
    <row r="49" spans="1:21" x14ac:dyDescent="0.2">
      <c r="U49" s="15"/>
    </row>
    <row r="50" spans="1:21" x14ac:dyDescent="0.2">
      <c r="U50" s="15"/>
    </row>
    <row r="51" spans="1:21" x14ac:dyDescent="0.2">
      <c r="U51" s="15"/>
    </row>
    <row r="52" spans="1:21" x14ac:dyDescent="0.2">
      <c r="U52" s="15"/>
    </row>
    <row r="53" spans="1:21" x14ac:dyDescent="0.2">
      <c r="A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5"/>
    </row>
    <row r="54" spans="1:21" x14ac:dyDescent="0.2">
      <c r="A54" s="1" t="s">
        <v>19</v>
      </c>
      <c r="B54" s="1" t="s">
        <v>20</v>
      </c>
      <c r="U54" s="15"/>
    </row>
    <row r="55" spans="1:21" x14ac:dyDescent="0.2">
      <c r="A55" s="2" t="s">
        <v>21</v>
      </c>
      <c r="L55" s="1"/>
      <c r="M55" s="1"/>
      <c r="N55" s="1" t="s">
        <v>22</v>
      </c>
      <c r="O55" s="1"/>
      <c r="P55" s="1"/>
      <c r="Q55" s="1"/>
      <c r="R55" s="1" t="s">
        <v>23</v>
      </c>
      <c r="S55" s="1"/>
      <c r="T55" s="1"/>
      <c r="U55" s="15"/>
    </row>
    <row r="56" spans="1:21" x14ac:dyDescent="0.2">
      <c r="A56" s="3" t="s">
        <v>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" t="s">
        <v>24</v>
      </c>
      <c r="O56" s="1"/>
      <c r="P56" s="1"/>
      <c r="Q56" s="1"/>
      <c r="R56" s="3" t="s">
        <v>25</v>
      </c>
      <c r="S56" s="1"/>
      <c r="T56" s="1"/>
      <c r="U56" s="15"/>
    </row>
    <row r="57" spans="1:21" x14ac:dyDescent="0.2">
      <c r="A57" s="2" t="s">
        <v>51</v>
      </c>
      <c r="B57" s="4"/>
      <c r="C57" s="4" t="s">
        <v>26</v>
      </c>
      <c r="D57" s="4" t="s">
        <v>27</v>
      </c>
      <c r="E57" s="4" t="s">
        <v>28</v>
      </c>
      <c r="F57" s="4" t="s">
        <v>29</v>
      </c>
      <c r="G57" s="3" t="s">
        <v>30</v>
      </c>
      <c r="H57" s="4" t="s">
        <v>31</v>
      </c>
      <c r="I57" s="4" t="s">
        <v>32</v>
      </c>
      <c r="J57" s="4" t="s">
        <v>33</v>
      </c>
      <c r="K57" s="4" t="s">
        <v>34</v>
      </c>
      <c r="L57" s="4" t="s">
        <v>35</v>
      </c>
      <c r="M57" s="8" t="s">
        <v>36</v>
      </c>
      <c r="N57" s="4" t="s">
        <v>37</v>
      </c>
      <c r="O57" s="4" t="s">
        <v>38</v>
      </c>
      <c r="P57" s="4" t="s">
        <v>39</v>
      </c>
      <c r="Q57" s="8" t="s">
        <v>40</v>
      </c>
      <c r="R57" s="4" t="s">
        <v>37</v>
      </c>
      <c r="S57" s="4" t="s">
        <v>38</v>
      </c>
      <c r="T57" s="4" t="s">
        <v>39</v>
      </c>
      <c r="U57" s="8" t="s">
        <v>41</v>
      </c>
    </row>
    <row r="58" spans="1:21" x14ac:dyDescent="0.2">
      <c r="A58" s="10">
        <v>2352</v>
      </c>
      <c r="B58" s="6" t="s">
        <v>14</v>
      </c>
      <c r="C58" s="1">
        <v>3</v>
      </c>
      <c r="D58" s="1"/>
      <c r="E58" s="1"/>
      <c r="F58" s="1">
        <v>6</v>
      </c>
      <c r="G58" s="1">
        <v>4</v>
      </c>
      <c r="H58" s="1">
        <v>940.5</v>
      </c>
      <c r="I58" s="1">
        <v>995</v>
      </c>
      <c r="J58" s="1">
        <v>956</v>
      </c>
      <c r="K58" s="1">
        <f>I58-H58</f>
        <v>54.5</v>
      </c>
      <c r="L58" s="1">
        <f>J58-H58</f>
        <v>15.5</v>
      </c>
      <c r="M58" s="1">
        <f>(K58-L58)/(K58)*100</f>
        <v>71.559633027522935</v>
      </c>
      <c r="N58" s="13">
        <v>0.40347222222222223</v>
      </c>
      <c r="O58" s="13">
        <v>0.55208333333333337</v>
      </c>
      <c r="P58" s="14">
        <f>O58-N58</f>
        <v>0.14861111111111114</v>
      </c>
      <c r="Q58" s="15">
        <f>P58*1440</f>
        <v>214.00000000000003</v>
      </c>
      <c r="R58" s="14">
        <v>0.43333333333333335</v>
      </c>
      <c r="S58" s="14">
        <v>0.43888888888888888</v>
      </c>
      <c r="T58" s="14">
        <f>S58-R58</f>
        <v>5.5555555555555358E-3</v>
      </c>
      <c r="U58" s="15">
        <f>T58*1400</f>
        <v>7.7777777777777501</v>
      </c>
    </row>
    <row r="59" spans="1:21" x14ac:dyDescent="0.2">
      <c r="A59" s="10">
        <v>2353</v>
      </c>
      <c r="B59" s="7"/>
      <c r="C59" s="1">
        <v>5</v>
      </c>
      <c r="D59" s="1"/>
      <c r="E59" s="1"/>
      <c r="F59" s="1">
        <v>6</v>
      </c>
      <c r="G59" s="1">
        <v>4</v>
      </c>
      <c r="H59" s="1">
        <v>979.5</v>
      </c>
      <c r="I59" s="1">
        <v>1100.5</v>
      </c>
      <c r="J59" s="1">
        <v>1018.5</v>
      </c>
      <c r="K59" s="1">
        <f t="shared" ref="K59:K76" si="7">I59-H59</f>
        <v>121</v>
      </c>
      <c r="L59" s="1">
        <f t="shared" ref="L59:L74" si="8">J59-H59</f>
        <v>39</v>
      </c>
      <c r="M59" s="1">
        <f t="shared" ref="M59:M74" si="9">(K59-L59)/(K59)*100</f>
        <v>67.768595041322314</v>
      </c>
      <c r="N59" s="13">
        <v>0.40347222222222223</v>
      </c>
      <c r="O59" s="13">
        <v>0.54166666666666663</v>
      </c>
      <c r="P59" s="14">
        <f t="shared" ref="P59:P76" si="10">O59-N59</f>
        <v>0.1381944444444444</v>
      </c>
      <c r="Q59" s="15">
        <f t="shared" ref="Q59:Q76" si="11">P59*1440</f>
        <v>198.99999999999994</v>
      </c>
      <c r="R59" s="14">
        <v>0.43680555555555556</v>
      </c>
      <c r="S59" s="14">
        <v>0.44027777777777777</v>
      </c>
      <c r="T59" s="14">
        <f t="shared" ref="T59:T76" si="12">S59-R59</f>
        <v>3.4722222222222099E-3</v>
      </c>
      <c r="U59" s="15">
        <f t="shared" ref="U59:U76" si="13">T59*1400</f>
        <v>4.8611111111110938</v>
      </c>
    </row>
    <row r="60" spans="1:21" x14ac:dyDescent="0.2">
      <c r="A60" s="11">
        <v>2359</v>
      </c>
      <c r="B60" s="7"/>
      <c r="C60" s="1">
        <v>4</v>
      </c>
      <c r="D60" s="1"/>
      <c r="E60" s="1"/>
      <c r="F60" s="1">
        <v>4</v>
      </c>
      <c r="G60" s="1">
        <v>3</v>
      </c>
      <c r="H60" s="1">
        <v>1012</v>
      </c>
      <c r="I60" s="1">
        <v>1047.5</v>
      </c>
      <c r="J60" s="1">
        <v>1031</v>
      </c>
      <c r="K60" s="1">
        <f t="shared" si="7"/>
        <v>35.5</v>
      </c>
      <c r="L60" s="1">
        <f t="shared" si="8"/>
        <v>19</v>
      </c>
      <c r="M60" s="1">
        <f t="shared" si="9"/>
        <v>46.478873239436616</v>
      </c>
      <c r="N60" s="13">
        <v>0.40347222222222223</v>
      </c>
      <c r="O60" s="13">
        <v>0.63541666666666663</v>
      </c>
      <c r="P60" s="14">
        <f t="shared" si="10"/>
        <v>0.2319444444444444</v>
      </c>
      <c r="Q60" s="15">
        <f>P60*1440</f>
        <v>333.99999999999994</v>
      </c>
      <c r="R60" s="14">
        <v>0.44027777777777777</v>
      </c>
      <c r="S60" s="14">
        <v>0.44374999999999998</v>
      </c>
      <c r="T60" s="14">
        <f t="shared" si="12"/>
        <v>3.4722222222222099E-3</v>
      </c>
      <c r="U60" s="15">
        <f t="shared" si="13"/>
        <v>4.8611111111110938</v>
      </c>
    </row>
    <row r="61" spans="1:21" x14ac:dyDescent="0.2">
      <c r="A61" s="11">
        <v>2360</v>
      </c>
      <c r="B61" s="7"/>
      <c r="C61" s="1">
        <v>3</v>
      </c>
      <c r="D61" s="1"/>
      <c r="E61" s="1"/>
      <c r="F61" s="1">
        <v>5</v>
      </c>
      <c r="G61" s="1">
        <v>4</v>
      </c>
      <c r="H61" s="1">
        <v>1008</v>
      </c>
      <c r="I61" s="1">
        <v>1065.5</v>
      </c>
      <c r="J61" s="1">
        <v>1033</v>
      </c>
      <c r="K61" s="1">
        <f t="shared" si="7"/>
        <v>57.5</v>
      </c>
      <c r="L61" s="1">
        <f t="shared" si="8"/>
        <v>25</v>
      </c>
      <c r="M61" s="1">
        <f t="shared" si="9"/>
        <v>56.521739130434781</v>
      </c>
      <c r="N61" s="13">
        <v>0.40347222222222223</v>
      </c>
      <c r="O61" s="13">
        <v>0.55208333333333337</v>
      </c>
      <c r="P61" s="14">
        <f t="shared" si="10"/>
        <v>0.14861111111111114</v>
      </c>
      <c r="Q61" s="15">
        <f t="shared" si="11"/>
        <v>214.00000000000003</v>
      </c>
      <c r="R61" s="14">
        <v>0.44305555555555554</v>
      </c>
      <c r="S61" s="14">
        <v>0.44305555555555554</v>
      </c>
      <c r="T61" s="14">
        <f t="shared" si="12"/>
        <v>0</v>
      </c>
      <c r="U61" s="15">
        <f t="shared" si="13"/>
        <v>0</v>
      </c>
    </row>
    <row r="62" spans="1:21" x14ac:dyDescent="0.2">
      <c r="A62" s="10">
        <v>2371</v>
      </c>
      <c r="B62" s="7"/>
      <c r="C62" s="1">
        <v>6</v>
      </c>
      <c r="D62" s="1"/>
      <c r="E62" s="1"/>
      <c r="F62" s="1">
        <v>8</v>
      </c>
      <c r="G62" s="1">
        <v>4</v>
      </c>
      <c r="H62" s="1">
        <v>979</v>
      </c>
      <c r="I62" s="1">
        <v>1050.5</v>
      </c>
      <c r="J62" s="1">
        <v>1011</v>
      </c>
      <c r="K62" s="1">
        <f t="shared" si="7"/>
        <v>71.5</v>
      </c>
      <c r="L62" s="1">
        <f t="shared" si="8"/>
        <v>32</v>
      </c>
      <c r="M62" s="1">
        <f t="shared" si="9"/>
        <v>55.24475524475524</v>
      </c>
      <c r="N62" s="13">
        <v>0.40347222222222223</v>
      </c>
      <c r="O62" s="13">
        <v>0.55208333333333337</v>
      </c>
      <c r="P62" s="14">
        <f t="shared" si="10"/>
        <v>0.14861111111111114</v>
      </c>
      <c r="Q62" s="15">
        <f t="shared" si="11"/>
        <v>214.00000000000003</v>
      </c>
      <c r="R62" s="14">
        <v>0.4465277777777778</v>
      </c>
      <c r="S62" s="14">
        <v>0.45277777777777778</v>
      </c>
      <c r="T62" s="14">
        <f t="shared" si="12"/>
        <v>6.2499999999999778E-3</v>
      </c>
      <c r="U62" s="15">
        <f t="shared" si="13"/>
        <v>8.749999999999968</v>
      </c>
    </row>
    <row r="63" spans="1:21" x14ac:dyDescent="0.2">
      <c r="A63" s="10">
        <v>2372</v>
      </c>
      <c r="B63" s="7"/>
      <c r="C63" s="1">
        <v>9</v>
      </c>
      <c r="D63" s="1"/>
      <c r="E63" s="1"/>
      <c r="F63" s="1">
        <v>10</v>
      </c>
      <c r="G63" s="1">
        <v>4</v>
      </c>
      <c r="H63" s="1">
        <v>1018</v>
      </c>
      <c r="I63" s="1">
        <v>1089</v>
      </c>
      <c r="J63" s="1">
        <v>1039</v>
      </c>
      <c r="K63" s="1">
        <f t="shared" si="7"/>
        <v>71</v>
      </c>
      <c r="L63" s="1">
        <f t="shared" si="8"/>
        <v>21</v>
      </c>
      <c r="M63" s="1">
        <f t="shared" si="9"/>
        <v>70.422535211267601</v>
      </c>
      <c r="N63" s="13">
        <v>0.40347222222222223</v>
      </c>
      <c r="O63" s="13">
        <v>0.63541666666666663</v>
      </c>
      <c r="P63" s="14">
        <f t="shared" si="10"/>
        <v>0.2319444444444444</v>
      </c>
      <c r="Q63" s="15">
        <f t="shared" si="11"/>
        <v>333.99999999999994</v>
      </c>
      <c r="R63" s="14">
        <v>0.44930555555555557</v>
      </c>
      <c r="S63" s="14">
        <v>0.45208333333333334</v>
      </c>
      <c r="T63" s="14">
        <f t="shared" si="12"/>
        <v>2.7777777777777679E-3</v>
      </c>
      <c r="U63" s="15">
        <f t="shared" si="13"/>
        <v>3.8888888888888751</v>
      </c>
    </row>
    <row r="64" spans="1:21" x14ac:dyDescent="0.2">
      <c r="A64" s="10">
        <v>2375</v>
      </c>
      <c r="B64" s="7"/>
      <c r="C64" s="1">
        <v>4</v>
      </c>
      <c r="D64" s="1"/>
      <c r="E64" s="1"/>
      <c r="F64" s="1">
        <v>5</v>
      </c>
      <c r="G64" s="1">
        <v>3.5</v>
      </c>
      <c r="H64" s="1">
        <v>1002</v>
      </c>
      <c r="I64" s="1"/>
      <c r="J64" s="1"/>
      <c r="K64" s="1"/>
      <c r="L64" s="1"/>
      <c r="M64" s="1"/>
      <c r="N64" s="13">
        <v>0.40347222222222223</v>
      </c>
      <c r="O64" s="13">
        <v>0.53125</v>
      </c>
      <c r="P64" s="14">
        <f t="shared" si="10"/>
        <v>0.12777777777777777</v>
      </c>
      <c r="Q64" s="15">
        <f t="shared" si="11"/>
        <v>184</v>
      </c>
      <c r="R64" s="14">
        <v>0.45208333333333334</v>
      </c>
      <c r="S64" s="14">
        <v>0.46527777777777779</v>
      </c>
      <c r="T64" s="14">
        <f t="shared" si="12"/>
        <v>1.3194444444444453E-2</v>
      </c>
      <c r="U64" s="15">
        <f>T64*1400</f>
        <v>18.472222222222236</v>
      </c>
    </row>
    <row r="65" spans="1:21" x14ac:dyDescent="0.2">
      <c r="A65" s="10">
        <v>2376</v>
      </c>
      <c r="B65" s="7"/>
      <c r="C65" s="1">
        <v>3</v>
      </c>
      <c r="D65" s="1"/>
      <c r="E65" s="1"/>
      <c r="F65" s="1">
        <v>4</v>
      </c>
      <c r="G65" s="1">
        <v>3</v>
      </c>
      <c r="H65" s="1">
        <v>1013.5</v>
      </c>
      <c r="I65" s="1">
        <v>1044.5</v>
      </c>
      <c r="J65" s="1">
        <v>1030.5</v>
      </c>
      <c r="K65" s="1">
        <f t="shared" si="7"/>
        <v>31</v>
      </c>
      <c r="L65" s="1">
        <f t="shared" si="8"/>
        <v>17</v>
      </c>
      <c r="M65" s="1">
        <f t="shared" si="9"/>
        <v>45.161290322580641</v>
      </c>
      <c r="N65" s="13">
        <v>0.40347222222222223</v>
      </c>
      <c r="O65" s="13">
        <v>0.61458333333333337</v>
      </c>
      <c r="P65" s="14">
        <f t="shared" si="10"/>
        <v>0.21111111111111114</v>
      </c>
      <c r="Q65" s="15">
        <f t="shared" si="11"/>
        <v>304.00000000000006</v>
      </c>
      <c r="R65" s="14">
        <v>0.4548611111111111</v>
      </c>
      <c r="S65" s="14">
        <v>0.4548611111111111</v>
      </c>
      <c r="T65" s="14">
        <f t="shared" si="12"/>
        <v>0</v>
      </c>
      <c r="U65" s="15">
        <f t="shared" si="13"/>
        <v>0</v>
      </c>
    </row>
    <row r="66" spans="1:21" x14ac:dyDescent="0.2">
      <c r="A66" s="11">
        <v>2354</v>
      </c>
      <c r="B66" s="9" t="s">
        <v>15</v>
      </c>
      <c r="C66" s="1">
        <v>6</v>
      </c>
      <c r="D66" s="1"/>
      <c r="E66" s="1"/>
      <c r="F66" s="1">
        <v>6</v>
      </c>
      <c r="G66" s="1">
        <v>2.5</v>
      </c>
      <c r="H66" s="1">
        <v>1012.5</v>
      </c>
      <c r="I66" s="17">
        <v>1048</v>
      </c>
      <c r="J66" s="17">
        <v>1031.5</v>
      </c>
      <c r="K66" s="1">
        <f t="shared" si="7"/>
        <v>35.5</v>
      </c>
      <c r="L66" s="1">
        <f t="shared" si="8"/>
        <v>19</v>
      </c>
      <c r="M66" s="1">
        <f t="shared" si="9"/>
        <v>46.478873239436616</v>
      </c>
      <c r="N66" s="13">
        <v>0.3972222222222222</v>
      </c>
      <c r="O66" s="16">
        <v>0.55208333333333337</v>
      </c>
      <c r="P66" s="14">
        <f t="shared" si="10"/>
        <v>0.15486111111111117</v>
      </c>
      <c r="Q66" s="15">
        <f t="shared" si="11"/>
        <v>223.00000000000009</v>
      </c>
      <c r="R66" s="14">
        <v>0.40069444444444446</v>
      </c>
      <c r="S66" s="14" t="s">
        <v>52</v>
      </c>
      <c r="T66" s="14"/>
      <c r="U66" s="15"/>
    </row>
    <row r="67" spans="1:21" x14ac:dyDescent="0.2">
      <c r="A67" s="11">
        <v>2355</v>
      </c>
      <c r="B67" s="9"/>
      <c r="C67" s="1">
        <v>9</v>
      </c>
      <c r="D67" s="1"/>
      <c r="E67" s="1"/>
      <c r="F67" s="1">
        <v>9</v>
      </c>
      <c r="G67" s="1">
        <v>2.5</v>
      </c>
      <c r="H67" s="1">
        <v>974</v>
      </c>
      <c r="I67" s="1">
        <v>1031</v>
      </c>
      <c r="J67" s="1">
        <v>1003</v>
      </c>
      <c r="K67" s="1">
        <f t="shared" si="7"/>
        <v>57</v>
      </c>
      <c r="L67" s="1">
        <f t="shared" si="8"/>
        <v>29</v>
      </c>
      <c r="M67" s="1">
        <f t="shared" si="9"/>
        <v>49.122807017543856</v>
      </c>
      <c r="N67" s="13">
        <v>0.3972222222222222</v>
      </c>
      <c r="O67" s="23">
        <v>0.59375</v>
      </c>
      <c r="P67" s="14">
        <f t="shared" si="10"/>
        <v>0.1965277777777778</v>
      </c>
      <c r="Q67" s="15">
        <f t="shared" si="11"/>
        <v>283.00000000000006</v>
      </c>
      <c r="R67" s="14">
        <v>0.40416666666666667</v>
      </c>
      <c r="S67" s="14">
        <v>0.41875000000000001</v>
      </c>
      <c r="T67" s="14">
        <f t="shared" si="12"/>
        <v>1.4583333333333337E-2</v>
      </c>
      <c r="U67" s="15">
        <f t="shared" si="13"/>
        <v>20.416666666666671</v>
      </c>
    </row>
    <row r="68" spans="1:21" x14ac:dyDescent="0.2">
      <c r="A68" s="10">
        <v>2374</v>
      </c>
      <c r="B68" s="9"/>
      <c r="C68" s="17">
        <v>0</v>
      </c>
      <c r="D68" s="17"/>
      <c r="E68" s="17"/>
      <c r="F68" s="17">
        <v>3</v>
      </c>
      <c r="G68" s="17">
        <v>3</v>
      </c>
      <c r="H68" s="1">
        <v>1005</v>
      </c>
      <c r="I68" s="1">
        <v>1039</v>
      </c>
      <c r="J68" s="1">
        <v>1023</v>
      </c>
      <c r="K68" s="1">
        <f t="shared" si="7"/>
        <v>34</v>
      </c>
      <c r="L68" s="1">
        <f>J68-H68</f>
        <v>18</v>
      </c>
      <c r="M68" s="1">
        <f t="shared" si="9"/>
        <v>47.058823529411761</v>
      </c>
      <c r="N68" s="13">
        <v>0.3972222222222222</v>
      </c>
      <c r="O68" s="14" t="s">
        <v>44</v>
      </c>
      <c r="P68" s="14"/>
      <c r="Q68" s="15">
        <f t="shared" si="11"/>
        <v>0</v>
      </c>
      <c r="R68" s="18">
        <v>0.40625</v>
      </c>
      <c r="S68" s="18" t="s">
        <v>52</v>
      </c>
      <c r="T68" s="14"/>
      <c r="U68" s="15"/>
    </row>
    <row r="69" spans="1:21" x14ac:dyDescent="0.2">
      <c r="A69" s="10">
        <v>2377</v>
      </c>
      <c r="B69" s="9"/>
      <c r="C69" s="1">
        <v>7</v>
      </c>
      <c r="D69" s="1"/>
      <c r="E69" s="1"/>
      <c r="F69" s="1">
        <v>8</v>
      </c>
      <c r="G69" s="1">
        <v>2.5</v>
      </c>
      <c r="H69" s="1">
        <v>1006</v>
      </c>
      <c r="I69" s="1">
        <v>1036</v>
      </c>
      <c r="J69" s="1">
        <v>1026</v>
      </c>
      <c r="K69" s="1">
        <f t="shared" si="7"/>
        <v>30</v>
      </c>
      <c r="L69" s="1">
        <f t="shared" si="8"/>
        <v>20</v>
      </c>
      <c r="M69" s="1">
        <f t="shared" si="9"/>
        <v>33.333333333333329</v>
      </c>
      <c r="N69" s="13">
        <v>0.3972222222222222</v>
      </c>
      <c r="O69" s="13" t="s">
        <v>44</v>
      </c>
      <c r="P69" s="14"/>
      <c r="Q69" s="15">
        <f t="shared" si="11"/>
        <v>0</v>
      </c>
      <c r="R69" s="14">
        <v>0.41041666666666665</v>
      </c>
      <c r="S69" s="14">
        <v>0.42916666666666664</v>
      </c>
      <c r="T69" s="14">
        <f t="shared" si="12"/>
        <v>1.8749999999999989E-2</v>
      </c>
      <c r="U69" s="15">
        <f t="shared" si="13"/>
        <v>26.249999999999986</v>
      </c>
    </row>
    <row r="70" spans="1:21" x14ac:dyDescent="0.2">
      <c r="A70" s="10">
        <v>2370</v>
      </c>
      <c r="B70" s="9"/>
      <c r="C70" s="1">
        <v>5</v>
      </c>
      <c r="D70" s="1"/>
      <c r="E70" s="1"/>
      <c r="F70" s="1">
        <v>6</v>
      </c>
      <c r="G70" s="1">
        <v>3</v>
      </c>
      <c r="H70" s="1">
        <v>969.5</v>
      </c>
      <c r="I70" s="1">
        <v>1001.5</v>
      </c>
      <c r="J70" s="1">
        <v>986.5</v>
      </c>
      <c r="K70" s="1">
        <f t="shared" si="7"/>
        <v>32</v>
      </c>
      <c r="L70" s="1">
        <f t="shared" si="8"/>
        <v>17</v>
      </c>
      <c r="M70" s="1">
        <f t="shared" si="9"/>
        <v>46.875</v>
      </c>
      <c r="N70" s="13">
        <v>0.3972222222222222</v>
      </c>
      <c r="O70" s="13">
        <v>0.61458333333333337</v>
      </c>
      <c r="P70" s="14">
        <f t="shared" si="10"/>
        <v>0.21736111111111117</v>
      </c>
      <c r="Q70" s="15">
        <f t="shared" si="11"/>
        <v>313.00000000000011</v>
      </c>
      <c r="R70" s="14">
        <v>0.41319444444444442</v>
      </c>
      <c r="S70" s="14">
        <v>0.42986111111111114</v>
      </c>
      <c r="T70" s="14">
        <f t="shared" si="12"/>
        <v>1.6666666666666718E-2</v>
      </c>
      <c r="U70" s="15">
        <f t="shared" si="13"/>
        <v>23.333333333333407</v>
      </c>
    </row>
    <row r="71" spans="1:21" x14ac:dyDescent="0.2">
      <c r="A71" s="20">
        <v>2356</v>
      </c>
      <c r="B71" s="12" t="s">
        <v>43</v>
      </c>
      <c r="C71" s="1">
        <v>3</v>
      </c>
      <c r="D71" s="1"/>
      <c r="E71" s="1"/>
      <c r="F71" s="1">
        <v>4</v>
      </c>
      <c r="G71" s="1">
        <v>3.5</v>
      </c>
      <c r="H71" s="1">
        <v>934</v>
      </c>
      <c r="I71" s="1">
        <v>974</v>
      </c>
      <c r="J71" s="1">
        <v>955.5</v>
      </c>
      <c r="K71" s="1">
        <f t="shared" si="7"/>
        <v>40</v>
      </c>
      <c r="L71" s="1">
        <f t="shared" si="8"/>
        <v>21.5</v>
      </c>
      <c r="M71" s="1">
        <f t="shared" si="9"/>
        <v>46.25</v>
      </c>
      <c r="N71" s="13">
        <v>0.4</v>
      </c>
      <c r="O71" s="13">
        <v>0.69791666666666663</v>
      </c>
      <c r="P71" s="14">
        <f t="shared" si="10"/>
        <v>0.29791666666666661</v>
      </c>
      <c r="Q71" s="15">
        <f t="shared" si="11"/>
        <v>428.99999999999989</v>
      </c>
      <c r="R71" s="14">
        <v>0.41597222222222224</v>
      </c>
      <c r="S71" s="14">
        <v>0.44097222222222221</v>
      </c>
      <c r="T71" s="14">
        <f t="shared" si="12"/>
        <v>2.4999999999999967E-2</v>
      </c>
      <c r="U71" s="15">
        <f t="shared" si="13"/>
        <v>34.99999999999995</v>
      </c>
    </row>
    <row r="72" spans="1:21" x14ac:dyDescent="0.2">
      <c r="A72" s="20">
        <v>2357</v>
      </c>
      <c r="B72" s="12"/>
      <c r="C72" s="1">
        <v>6</v>
      </c>
      <c r="D72" s="1"/>
      <c r="E72" s="1"/>
      <c r="F72" s="1">
        <v>8</v>
      </c>
      <c r="G72" s="1">
        <v>3.5</v>
      </c>
      <c r="H72" s="1">
        <v>1003.5</v>
      </c>
      <c r="I72" s="1">
        <v>1047.5</v>
      </c>
      <c r="J72" s="1">
        <v>1029.5</v>
      </c>
      <c r="K72" s="1">
        <f t="shared" si="7"/>
        <v>44</v>
      </c>
      <c r="L72" s="1">
        <f t="shared" si="8"/>
        <v>26</v>
      </c>
      <c r="M72" s="1">
        <f>(K72-L72)/(K72)*100</f>
        <v>40.909090909090914</v>
      </c>
      <c r="N72" s="13">
        <v>0.4</v>
      </c>
      <c r="O72" s="13">
        <v>0.63541666666666663</v>
      </c>
      <c r="P72" s="14">
        <f t="shared" si="10"/>
        <v>0.23541666666666661</v>
      </c>
      <c r="Q72" s="15">
        <f>P72*1440</f>
        <v>338.99999999999989</v>
      </c>
      <c r="R72" s="14">
        <v>0.41875000000000001</v>
      </c>
      <c r="S72" s="14">
        <v>0.41944444444444445</v>
      </c>
      <c r="T72" s="14">
        <f t="shared" si="12"/>
        <v>6.9444444444444198E-4</v>
      </c>
      <c r="U72" s="15">
        <f t="shared" si="13"/>
        <v>0.97222222222221877</v>
      </c>
    </row>
    <row r="73" spans="1:21" x14ac:dyDescent="0.2">
      <c r="A73" s="21">
        <v>2358</v>
      </c>
      <c r="B73" s="12"/>
      <c r="C73" s="1">
        <v>7</v>
      </c>
      <c r="D73" s="1"/>
      <c r="E73" s="1"/>
      <c r="F73" s="1">
        <v>8</v>
      </c>
      <c r="G73" s="1">
        <v>4</v>
      </c>
      <c r="H73" s="1">
        <v>1012</v>
      </c>
      <c r="I73" s="1">
        <v>1071</v>
      </c>
      <c r="J73" s="1">
        <v>1026</v>
      </c>
      <c r="K73" s="1">
        <f>I73-H73</f>
        <v>59</v>
      </c>
      <c r="L73" s="1">
        <f t="shared" si="8"/>
        <v>14</v>
      </c>
      <c r="M73" s="1">
        <f t="shared" si="9"/>
        <v>76.271186440677965</v>
      </c>
      <c r="N73" s="13">
        <v>0.4</v>
      </c>
      <c r="O73" s="13">
        <v>0.54166666666666663</v>
      </c>
      <c r="P73" s="14">
        <f t="shared" si="10"/>
        <v>0.14166666666666661</v>
      </c>
      <c r="Q73" s="15">
        <f t="shared" si="11"/>
        <v>203.99999999999991</v>
      </c>
      <c r="R73" s="14">
        <v>0.42152777777777778</v>
      </c>
      <c r="S73" s="14">
        <v>0.43333333333333335</v>
      </c>
      <c r="T73" s="14">
        <f t="shared" si="12"/>
        <v>1.1805555555555569E-2</v>
      </c>
      <c r="U73" s="15">
        <f>T73*1400</f>
        <v>16.527777777777796</v>
      </c>
    </row>
    <row r="74" spans="1:21" x14ac:dyDescent="0.2">
      <c r="A74" s="21">
        <v>2361</v>
      </c>
      <c r="B74" s="12"/>
      <c r="C74" s="1">
        <v>5</v>
      </c>
      <c r="D74" s="1"/>
      <c r="E74" s="1"/>
      <c r="F74" s="1">
        <v>5</v>
      </c>
      <c r="G74" s="1">
        <v>3</v>
      </c>
      <c r="H74" s="1">
        <v>980.5</v>
      </c>
      <c r="I74" s="1">
        <v>1018.5</v>
      </c>
      <c r="J74" s="1">
        <v>1003.5</v>
      </c>
      <c r="K74" s="1">
        <f t="shared" si="7"/>
        <v>38</v>
      </c>
      <c r="L74" s="1">
        <f t="shared" si="8"/>
        <v>23</v>
      </c>
      <c r="M74" s="1">
        <f t="shared" si="9"/>
        <v>39.473684210526315</v>
      </c>
      <c r="N74" s="13">
        <v>0.4</v>
      </c>
      <c r="O74" s="14">
        <v>0.59375</v>
      </c>
      <c r="P74" s="14">
        <f t="shared" si="10"/>
        <v>0.19374999999999998</v>
      </c>
      <c r="Q74" s="15">
        <f t="shared" si="11"/>
        <v>278.99999999999994</v>
      </c>
      <c r="R74" s="23">
        <v>0.42430555555555555</v>
      </c>
      <c r="S74" s="23">
        <v>0.42430555555555555</v>
      </c>
      <c r="T74" s="14">
        <f t="shared" si="12"/>
        <v>0</v>
      </c>
      <c r="U74" s="15">
        <f t="shared" si="13"/>
        <v>0</v>
      </c>
    </row>
    <row r="75" spans="1:21" x14ac:dyDescent="0.2">
      <c r="A75" s="20">
        <v>2368</v>
      </c>
      <c r="B75" s="12"/>
      <c r="C75" s="29"/>
      <c r="D75" s="29"/>
      <c r="E75" s="29"/>
      <c r="F75" s="29"/>
      <c r="G75" s="29"/>
      <c r="H75" s="30"/>
      <c r="I75" s="30"/>
      <c r="J75" s="30"/>
      <c r="K75" s="30"/>
      <c r="L75" s="30"/>
      <c r="M75" s="30"/>
      <c r="N75" s="30"/>
      <c r="O75" s="30"/>
      <c r="P75" s="31"/>
      <c r="Q75" s="30"/>
      <c r="R75" s="30"/>
      <c r="S75" s="30"/>
      <c r="T75" s="30"/>
      <c r="U75" s="30"/>
    </row>
    <row r="76" spans="1:21" x14ac:dyDescent="0.2">
      <c r="A76" s="20">
        <v>2362</v>
      </c>
      <c r="B76" s="12"/>
      <c r="C76" s="1">
        <v>4</v>
      </c>
      <c r="D76" s="1"/>
      <c r="E76" s="1"/>
      <c r="F76" s="1">
        <v>4</v>
      </c>
      <c r="G76" s="1">
        <v>3</v>
      </c>
      <c r="H76" s="1">
        <v>935</v>
      </c>
      <c r="I76" s="1">
        <v>971.5</v>
      </c>
      <c r="J76" s="1">
        <v>952</v>
      </c>
      <c r="K76" s="1">
        <f t="shared" si="7"/>
        <v>36.5</v>
      </c>
      <c r="L76" s="1">
        <f>J76-H76</f>
        <v>17</v>
      </c>
      <c r="M76" s="1">
        <f>(K76-L76)/(K76)*100</f>
        <v>53.424657534246577</v>
      </c>
      <c r="N76" s="13">
        <v>0.4</v>
      </c>
      <c r="O76" s="23">
        <v>0.54166666666666663</v>
      </c>
      <c r="P76" s="14">
        <f t="shared" si="10"/>
        <v>0.14166666666666661</v>
      </c>
      <c r="Q76" s="15">
        <f t="shared" si="11"/>
        <v>203.99999999999991</v>
      </c>
      <c r="R76" s="23">
        <v>0.42638888888888887</v>
      </c>
      <c r="S76" s="23">
        <v>0.43263888888888891</v>
      </c>
      <c r="T76" s="14">
        <f t="shared" si="12"/>
        <v>6.2500000000000333E-3</v>
      </c>
      <c r="U76" s="15">
        <f t="shared" si="13"/>
        <v>8.7500000000000462</v>
      </c>
    </row>
    <row r="77" spans="1:2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3"/>
      <c r="O77" s="23"/>
      <c r="P77" s="14"/>
      <c r="Q77" s="15"/>
      <c r="R77" s="23"/>
      <c r="S77" s="23"/>
      <c r="T77" s="14"/>
      <c r="U77" s="15"/>
    </row>
    <row r="78" spans="1:21" x14ac:dyDescent="0.2">
      <c r="H78" s="1"/>
      <c r="I78" s="1"/>
      <c r="J78" s="1"/>
      <c r="K78" s="1"/>
      <c r="L78" s="1"/>
      <c r="M78" s="1"/>
      <c r="U78" s="15"/>
    </row>
    <row r="87" spans="1:21" x14ac:dyDescent="0.2">
      <c r="U87" s="15"/>
    </row>
    <row r="88" spans="1:21" x14ac:dyDescent="0.2">
      <c r="U88" s="15"/>
    </row>
    <row r="89" spans="1:2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3"/>
      <c r="O89" s="23"/>
      <c r="P89" s="14"/>
      <c r="Q89" s="15"/>
      <c r="R89" s="23"/>
      <c r="S89" s="23"/>
      <c r="T89" s="14"/>
      <c r="U89" s="15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3"/>
      <c r="O90" s="23"/>
      <c r="P90" s="14"/>
      <c r="Q90" s="15"/>
      <c r="R90" s="23"/>
      <c r="S90" s="23"/>
      <c r="T90" s="14"/>
      <c r="U90" s="1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59DD-02B4-EA4E-8E2A-C6B8ED27F6A2}">
  <dimension ref="A1:G41"/>
  <sheetViews>
    <sheetView workbookViewId="0">
      <selection activeCell="A2" sqref="A2:E41"/>
    </sheetView>
  </sheetViews>
  <sheetFormatPr baseColWidth="10" defaultRowHeight="16" x14ac:dyDescent="0.2"/>
  <sheetData>
    <row r="1" spans="1:7" x14ac:dyDescent="0.2">
      <c r="A1" s="32" t="s">
        <v>54</v>
      </c>
      <c r="B1" s="32" t="s">
        <v>2</v>
      </c>
      <c r="C1" s="32" t="s">
        <v>55</v>
      </c>
      <c r="D1" s="32" t="s">
        <v>56</v>
      </c>
      <c r="E1" s="32" t="s">
        <v>57</v>
      </c>
      <c r="F1" s="32" t="s">
        <v>58</v>
      </c>
      <c r="G1" s="32" t="s">
        <v>59</v>
      </c>
    </row>
    <row r="2" spans="1:7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33">
        <v>4.5</v>
      </c>
      <c r="G2" s="33">
        <v>3.13</v>
      </c>
    </row>
    <row r="3" spans="1:7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33">
        <v>4.38</v>
      </c>
      <c r="G3" s="33">
        <v>3.6</v>
      </c>
    </row>
    <row r="4" spans="1:7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33">
        <v>5.8</v>
      </c>
      <c r="G4" s="33">
        <v>3.88</v>
      </c>
    </row>
    <row r="5" spans="1:7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33">
        <v>3.47</v>
      </c>
      <c r="G5" s="33">
        <v>2.35</v>
      </c>
    </row>
    <row r="6" spans="1:7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33">
        <v>2.5299999999999998</v>
      </c>
      <c r="G6" s="33">
        <v>2.5</v>
      </c>
    </row>
    <row r="7" spans="1:7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33">
        <v>7.02</v>
      </c>
      <c r="G7" s="33">
        <v>5.29</v>
      </c>
    </row>
    <row r="8" spans="1:7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33">
        <v>3.28</v>
      </c>
      <c r="G8" s="33">
        <v>2.16</v>
      </c>
    </row>
    <row r="9" spans="1:7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33">
        <v>12.18</v>
      </c>
      <c r="G9" s="33">
        <v>10.96</v>
      </c>
    </row>
    <row r="10" spans="1:7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33">
        <v>7.11</v>
      </c>
      <c r="G10" s="33">
        <v>12.38</v>
      </c>
    </row>
    <row r="11" spans="1:7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33">
        <v>6.92</v>
      </c>
      <c r="G11" s="33">
        <v>7.56</v>
      </c>
    </row>
    <row r="12" spans="1:7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33">
        <v>7.87</v>
      </c>
      <c r="G12" s="33">
        <v>5.15</v>
      </c>
    </row>
    <row r="13" spans="1:7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33">
        <v>11.44</v>
      </c>
      <c r="G13" s="33">
        <v>6.22</v>
      </c>
    </row>
    <row r="14" spans="1:7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33">
        <v>5.7</v>
      </c>
      <c r="G14" s="33">
        <v>6.47</v>
      </c>
    </row>
    <row r="15" spans="1:7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33">
        <v>8.64</v>
      </c>
      <c r="G15" s="33">
        <v>3.92</v>
      </c>
    </row>
    <row r="16" spans="1:7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33">
        <v>13.93</v>
      </c>
      <c r="G16" s="33">
        <v>13.56</v>
      </c>
    </row>
    <row r="17" spans="1:7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33">
        <v>6.59</v>
      </c>
      <c r="G17" s="33">
        <v>5.95</v>
      </c>
    </row>
    <row r="18" spans="1:7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33">
        <v>7.47</v>
      </c>
      <c r="G18" s="33">
        <v>5.5</v>
      </c>
    </row>
    <row r="19" spans="1:7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33">
        <v>12.6</v>
      </c>
      <c r="G19" s="33">
        <v>7.49</v>
      </c>
    </row>
    <row r="20" spans="1:7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33">
        <v>10.98</v>
      </c>
      <c r="G20" s="33">
        <v>7.6</v>
      </c>
    </row>
    <row r="21" spans="1:7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33">
        <v>6.54</v>
      </c>
      <c r="G21" s="33">
        <v>5.13</v>
      </c>
    </row>
    <row r="22" spans="1:7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33">
        <v>4.2</v>
      </c>
      <c r="G22" s="33">
        <v>1.88</v>
      </c>
    </row>
    <row r="23" spans="1:7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33">
        <v>5.4</v>
      </c>
      <c r="G23" s="33">
        <v>3.35</v>
      </c>
    </row>
    <row r="24" spans="1:7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 s="33">
        <v>3.28</v>
      </c>
      <c r="G24" s="33">
        <v>3.07</v>
      </c>
    </row>
    <row r="25" spans="1:7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33">
        <v>2.4700000000000002</v>
      </c>
      <c r="G25" s="33">
        <v>1.8</v>
      </c>
    </row>
    <row r="26" spans="1:7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33">
        <v>2.2999999999999998</v>
      </c>
      <c r="G26" s="33">
        <v>2.13</v>
      </c>
    </row>
    <row r="27" spans="1:7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33">
        <v>4.6900000000000004</v>
      </c>
      <c r="G27" s="33">
        <v>2.4</v>
      </c>
    </row>
    <row r="28" spans="1:7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33">
        <v>2.37</v>
      </c>
      <c r="G28" s="33">
        <v>1.91</v>
      </c>
    </row>
    <row r="29" spans="1:7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33">
        <v>5.14</v>
      </c>
      <c r="G29" s="33">
        <v>3.02</v>
      </c>
    </row>
    <row r="30" spans="1:7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33">
        <v>3.37</v>
      </c>
      <c r="G30" s="33">
        <v>2.77</v>
      </c>
    </row>
    <row r="31" spans="1:7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33">
        <v>10.210000000000001</v>
      </c>
      <c r="G31" s="33">
        <v>5.5</v>
      </c>
    </row>
    <row r="32" spans="1:7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33">
        <v>9.31</v>
      </c>
      <c r="G32" s="33">
        <v>16.809999999999999</v>
      </c>
    </row>
    <row r="33" spans="1:7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33">
        <v>7.47</v>
      </c>
      <c r="G33" s="33">
        <v>8.9600000000000009</v>
      </c>
    </row>
    <row r="34" spans="1:7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33">
        <v>6.91</v>
      </c>
      <c r="G34" s="33">
        <v>3.98</v>
      </c>
    </row>
    <row r="35" spans="1:7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33">
        <v>2.73</v>
      </c>
      <c r="G35" s="33">
        <v>1.95</v>
      </c>
    </row>
    <row r="36" spans="1:7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33">
        <v>7.92</v>
      </c>
      <c r="G36" s="33">
        <v>10.210000000000001</v>
      </c>
    </row>
    <row r="37" spans="1:7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33">
        <v>10.93</v>
      </c>
      <c r="G37" s="33">
        <v>9.61</v>
      </c>
    </row>
    <row r="38" spans="1:7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33">
        <v>5.64</v>
      </c>
      <c r="G38" s="33">
        <v>4.9000000000000004</v>
      </c>
    </row>
    <row r="39" spans="1:7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33">
        <v>7.49</v>
      </c>
      <c r="G39" s="33">
        <v>6.82</v>
      </c>
    </row>
    <row r="40" spans="1:7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2"/>
      <c r="G40" s="32"/>
    </row>
    <row r="41" spans="1:7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33">
        <v>5.99</v>
      </c>
      <c r="G41" s="33">
        <v>2.92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7EB7-B9A3-254B-AC77-595443673D04}">
  <dimension ref="A1:I41"/>
  <sheetViews>
    <sheetView topLeftCell="A7" workbookViewId="0">
      <selection activeCell="F23" sqref="F23"/>
    </sheetView>
  </sheetViews>
  <sheetFormatPr baseColWidth="10" defaultRowHeight="16" x14ac:dyDescent="0.2"/>
  <sheetData>
    <row r="1" spans="1:9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1">
        <v>11</v>
      </c>
      <c r="G2" s="1">
        <v>10</v>
      </c>
      <c r="H2" s="1">
        <v>3</v>
      </c>
      <c r="I2" s="1">
        <v>2</v>
      </c>
    </row>
    <row r="3" spans="1:9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1">
        <v>11</v>
      </c>
      <c r="G3" s="1">
        <v>11</v>
      </c>
      <c r="H3" s="1">
        <v>1</v>
      </c>
      <c r="I3" s="1">
        <v>4</v>
      </c>
    </row>
    <row r="4" spans="1:9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1">
        <v>11</v>
      </c>
      <c r="G4" s="1">
        <v>11</v>
      </c>
      <c r="H4" s="1">
        <v>5</v>
      </c>
      <c r="I4" s="1">
        <v>3</v>
      </c>
    </row>
    <row r="5" spans="1:9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1">
        <v>10</v>
      </c>
      <c r="G5" s="1">
        <v>10</v>
      </c>
      <c r="H5" s="1">
        <v>1</v>
      </c>
      <c r="I5" s="1">
        <v>2</v>
      </c>
    </row>
    <row r="6" spans="1:9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1">
        <v>11</v>
      </c>
      <c r="G6" s="1">
        <v>11</v>
      </c>
      <c r="H6" s="1">
        <v>2</v>
      </c>
      <c r="I6" s="1">
        <v>4</v>
      </c>
    </row>
    <row r="7" spans="1:9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1">
        <v>10</v>
      </c>
      <c r="G7" s="1">
        <v>13</v>
      </c>
      <c r="H7" s="1">
        <v>8</v>
      </c>
      <c r="I7" s="1">
        <v>6</v>
      </c>
    </row>
    <row r="8" spans="1:9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1">
        <v>9</v>
      </c>
      <c r="G8" s="1">
        <v>9</v>
      </c>
      <c r="H8" s="1">
        <v>2</v>
      </c>
      <c r="I8" s="1">
        <v>3</v>
      </c>
    </row>
    <row r="9" spans="1:9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1">
        <v>14</v>
      </c>
      <c r="G9" s="1">
        <v>15</v>
      </c>
      <c r="H9" s="1">
        <v>12</v>
      </c>
      <c r="I9" s="1">
        <v>9</v>
      </c>
    </row>
    <row r="10" spans="1:9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1">
        <v>13</v>
      </c>
      <c r="G10" s="1">
        <v>12</v>
      </c>
      <c r="H10" s="1">
        <v>8</v>
      </c>
      <c r="I10" s="1">
        <v>6</v>
      </c>
    </row>
    <row r="11" spans="1:9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1">
        <v>13</v>
      </c>
      <c r="G11" s="1">
        <v>11</v>
      </c>
      <c r="H11" s="1">
        <v>8</v>
      </c>
      <c r="I11" s="1">
        <v>8</v>
      </c>
    </row>
    <row r="12" spans="1:9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1">
        <v>12</v>
      </c>
      <c r="G12" s="1">
        <v>12</v>
      </c>
      <c r="H12" s="1">
        <v>10</v>
      </c>
      <c r="I12" s="1">
        <v>6</v>
      </c>
    </row>
    <row r="13" spans="1:9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1">
        <v>12</v>
      </c>
      <c r="G13" s="1">
        <v>11</v>
      </c>
      <c r="H13" s="1">
        <v>16</v>
      </c>
      <c r="I13" s="1">
        <v>13</v>
      </c>
    </row>
    <row r="14" spans="1:9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1">
        <v>10</v>
      </c>
      <c r="G14" s="1">
        <v>9</v>
      </c>
      <c r="H14" s="1">
        <v>8</v>
      </c>
      <c r="I14" s="1">
        <v>5</v>
      </c>
    </row>
    <row r="15" spans="1:9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1">
        <v>10</v>
      </c>
      <c r="G15" s="1">
        <v>10</v>
      </c>
      <c r="H15" s="1">
        <v>7</v>
      </c>
      <c r="I15" s="1">
        <v>4</v>
      </c>
    </row>
    <row r="16" spans="1:9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1">
        <v>13</v>
      </c>
      <c r="G16" s="1">
        <v>14</v>
      </c>
      <c r="H16" s="1">
        <v>13</v>
      </c>
      <c r="I16" s="1">
        <v>14</v>
      </c>
    </row>
    <row r="17" spans="1:9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1">
        <v>15</v>
      </c>
      <c r="G17" s="1">
        <v>12</v>
      </c>
      <c r="H17" s="1">
        <v>7</v>
      </c>
      <c r="I17" s="1">
        <v>9</v>
      </c>
    </row>
    <row r="18" spans="1:9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1">
        <v>9</v>
      </c>
      <c r="G18" s="1">
        <v>10</v>
      </c>
      <c r="H18" s="1">
        <v>7</v>
      </c>
      <c r="I18" s="1">
        <v>7</v>
      </c>
    </row>
    <row r="19" spans="1:9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1">
        <v>11</v>
      </c>
      <c r="G19" s="1">
        <v>11</v>
      </c>
      <c r="H19" s="1">
        <v>13</v>
      </c>
      <c r="I19" s="1">
        <v>6</v>
      </c>
    </row>
    <row r="20" spans="1:9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1">
        <v>12</v>
      </c>
      <c r="G20" s="1">
        <v>11</v>
      </c>
      <c r="H20" s="1">
        <v>14</v>
      </c>
      <c r="I20" s="1">
        <v>13</v>
      </c>
    </row>
    <row r="21" spans="1:9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1">
        <v>12</v>
      </c>
      <c r="G21" s="1">
        <v>11</v>
      </c>
      <c r="H21" s="1">
        <v>12</v>
      </c>
      <c r="I21" s="1">
        <v>6</v>
      </c>
    </row>
    <row r="22" spans="1:9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1">
        <v>10</v>
      </c>
      <c r="G22" s="1">
        <v>8</v>
      </c>
      <c r="H22" s="1">
        <v>7</v>
      </c>
      <c r="I22" s="1">
        <v>3</v>
      </c>
    </row>
    <row r="23" spans="1:9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1">
        <v>12</v>
      </c>
      <c r="G23" s="1">
        <v>10</v>
      </c>
      <c r="H23" s="1">
        <v>1</v>
      </c>
      <c r="I23" s="1">
        <v>2</v>
      </c>
    </row>
    <row r="24" spans="1:9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 s="1">
        <v>10</v>
      </c>
      <c r="G24" s="1">
        <v>10</v>
      </c>
      <c r="H24" s="1">
        <v>2</v>
      </c>
      <c r="I24" s="1">
        <v>2</v>
      </c>
    </row>
    <row r="25" spans="1:9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1">
        <v>9</v>
      </c>
      <c r="G25" s="1">
        <v>9</v>
      </c>
      <c r="H25" s="1">
        <v>0</v>
      </c>
      <c r="I25" s="1">
        <v>0</v>
      </c>
    </row>
    <row r="26" spans="1:9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1">
        <v>9</v>
      </c>
      <c r="G26" s="1">
        <v>9</v>
      </c>
      <c r="H26" s="1">
        <v>0</v>
      </c>
      <c r="I26" s="1">
        <v>0</v>
      </c>
    </row>
    <row r="27" spans="1:9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1">
        <v>11</v>
      </c>
      <c r="G27" s="1">
        <v>10</v>
      </c>
      <c r="H27" s="1">
        <v>3</v>
      </c>
      <c r="I27" s="1">
        <v>2</v>
      </c>
    </row>
    <row r="28" spans="1:9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1">
        <v>10</v>
      </c>
      <c r="G28" s="1">
        <v>9</v>
      </c>
      <c r="H28" s="1">
        <v>1</v>
      </c>
      <c r="I28" s="1">
        <v>0</v>
      </c>
    </row>
    <row r="29" spans="1:9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1">
        <v>11</v>
      </c>
      <c r="G29" s="1">
        <v>10</v>
      </c>
      <c r="H29" s="1">
        <v>2</v>
      </c>
      <c r="I29" s="1">
        <v>3</v>
      </c>
    </row>
    <row r="30" spans="1:9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1">
        <v>11</v>
      </c>
      <c r="G30" s="1">
        <v>10</v>
      </c>
      <c r="H30" s="1">
        <v>2</v>
      </c>
      <c r="I30" s="1">
        <v>2</v>
      </c>
    </row>
    <row r="31" spans="1:9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1">
        <v>11</v>
      </c>
      <c r="G31" s="1">
        <v>11</v>
      </c>
      <c r="H31" s="1">
        <v>7</v>
      </c>
      <c r="I31" s="1">
        <v>8</v>
      </c>
    </row>
    <row r="32" spans="1:9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1">
        <v>13</v>
      </c>
      <c r="G32" s="1">
        <v>11</v>
      </c>
      <c r="H32" s="1">
        <v>10</v>
      </c>
      <c r="I32" s="1">
        <v>12</v>
      </c>
    </row>
    <row r="33" spans="1:9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1">
        <v>11</v>
      </c>
      <c r="G33" s="1">
        <v>10</v>
      </c>
      <c r="H33" s="1">
        <v>12</v>
      </c>
      <c r="I33" s="1">
        <v>10</v>
      </c>
    </row>
    <row r="34" spans="1:9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1">
        <v>12</v>
      </c>
      <c r="G34" s="1">
        <v>11</v>
      </c>
      <c r="H34" s="1">
        <v>8</v>
      </c>
      <c r="I34" s="1">
        <v>4</v>
      </c>
    </row>
    <row r="35" spans="1:9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1">
        <v>11</v>
      </c>
      <c r="G35" s="1">
        <v>9</v>
      </c>
      <c r="H35" s="1">
        <v>5</v>
      </c>
      <c r="I35" s="1">
        <v>1</v>
      </c>
    </row>
    <row r="36" spans="1:9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1">
        <v>14</v>
      </c>
      <c r="G36" s="1">
        <v>10</v>
      </c>
      <c r="H36" s="1">
        <v>7</v>
      </c>
      <c r="I36" s="1">
        <v>5</v>
      </c>
    </row>
    <row r="37" spans="1:9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1">
        <v>12</v>
      </c>
      <c r="G37" s="1">
        <v>11</v>
      </c>
      <c r="H37" s="1">
        <v>8</v>
      </c>
      <c r="I37" s="1">
        <v>8</v>
      </c>
    </row>
    <row r="38" spans="1:9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1">
        <v>12</v>
      </c>
      <c r="G38" s="1">
        <v>10</v>
      </c>
      <c r="H38" s="1">
        <v>7</v>
      </c>
      <c r="I38" s="1">
        <v>8</v>
      </c>
    </row>
    <row r="39" spans="1:9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1">
        <v>12</v>
      </c>
      <c r="G39" s="1">
        <v>11</v>
      </c>
      <c r="H39" s="1">
        <v>8</v>
      </c>
      <c r="I39" s="1">
        <v>8</v>
      </c>
    </row>
    <row r="40" spans="1:9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2"/>
      <c r="G40" s="32"/>
      <c r="H40" s="32"/>
      <c r="I40" s="32"/>
    </row>
    <row r="41" spans="1:9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1">
        <v>10</v>
      </c>
      <c r="G41" s="1">
        <v>12</v>
      </c>
      <c r="H41" s="1">
        <v>10</v>
      </c>
      <c r="I41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FE3B-0E1D-5A41-847E-1276602F74F5}">
  <dimension ref="A1:G41"/>
  <sheetViews>
    <sheetView workbookViewId="0">
      <selection activeCell="H24" sqref="A1:XFD1048576"/>
    </sheetView>
  </sheetViews>
  <sheetFormatPr baseColWidth="10" defaultRowHeight="16" x14ac:dyDescent="0.2"/>
  <sheetData>
    <row r="1" spans="1:7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1">
        <v>8.27</v>
      </c>
      <c r="G2" s="1">
        <v>7.69</v>
      </c>
    </row>
    <row r="3" spans="1:7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1">
        <v>6.98</v>
      </c>
      <c r="G3" s="1">
        <v>6.04</v>
      </c>
    </row>
    <row r="4" spans="1:7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1">
        <v>8.66</v>
      </c>
      <c r="G4" s="1">
        <v>5.17</v>
      </c>
    </row>
    <row r="5" spans="1:7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1">
        <v>5.29</v>
      </c>
      <c r="G5" s="1">
        <v>4.37</v>
      </c>
    </row>
    <row r="6" spans="1:7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1">
        <v>6.62</v>
      </c>
      <c r="G6" s="1">
        <v>6.22</v>
      </c>
    </row>
    <row r="7" spans="1:7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1">
        <v>6.31</v>
      </c>
      <c r="G7" s="1">
        <v>4.6900000000000004</v>
      </c>
    </row>
    <row r="8" spans="1:7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1">
        <v>5.26</v>
      </c>
      <c r="G8" s="1">
        <v>4.09</v>
      </c>
    </row>
    <row r="9" spans="1:7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1">
        <v>28.72</v>
      </c>
      <c r="G9" s="1">
        <v>21.07</v>
      </c>
    </row>
    <row r="10" spans="1:7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1">
        <v>9.49</v>
      </c>
      <c r="G10" s="1">
        <v>9.01</v>
      </c>
    </row>
    <row r="11" spans="1:7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1">
        <v>6.82</v>
      </c>
      <c r="G11" s="1">
        <v>5.45</v>
      </c>
    </row>
    <row r="12" spans="1:7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1">
        <v>6.15</v>
      </c>
      <c r="G12" s="1">
        <v>6.95</v>
      </c>
    </row>
    <row r="13" spans="1:7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1">
        <v>9.74</v>
      </c>
      <c r="G13" s="1">
        <v>9.0399999999999991</v>
      </c>
    </row>
    <row r="14" spans="1:7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1">
        <v>7.26</v>
      </c>
      <c r="G14" s="1">
        <v>6.44</v>
      </c>
    </row>
    <row r="15" spans="1:7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1">
        <v>5.45</v>
      </c>
      <c r="G15" s="1">
        <v>3.17</v>
      </c>
    </row>
    <row r="16" spans="1:7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1">
        <v>10.65</v>
      </c>
      <c r="G16" s="1">
        <v>8.85</v>
      </c>
    </row>
    <row r="17" spans="1:7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1">
        <v>7.49</v>
      </c>
      <c r="G17" s="1">
        <v>8.76</v>
      </c>
    </row>
    <row r="18" spans="1:7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1">
        <v>5.62</v>
      </c>
      <c r="G18" s="1">
        <v>3.82</v>
      </c>
    </row>
    <row r="19" spans="1:7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1">
        <v>12.3</v>
      </c>
      <c r="G19" s="1"/>
    </row>
    <row r="20" spans="1:7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1">
        <v>11.08</v>
      </c>
      <c r="G20" s="1">
        <v>8.35</v>
      </c>
    </row>
    <row r="21" spans="1:7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1">
        <v>5.17</v>
      </c>
      <c r="G21" s="1">
        <v>4.9800000000000004</v>
      </c>
    </row>
    <row r="22" spans="1:7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1">
        <v>5.19</v>
      </c>
      <c r="G22" s="1">
        <v>4.57</v>
      </c>
    </row>
    <row r="23" spans="1:7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1">
        <v>6.66</v>
      </c>
      <c r="G23" s="1">
        <v>5.82</v>
      </c>
    </row>
    <row r="24" spans="1:7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>
        <v>7.44</v>
      </c>
      <c r="G24" s="1">
        <v>3.16</v>
      </c>
    </row>
    <row r="25" spans="1:7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1">
        <v>2.61</v>
      </c>
      <c r="G25" s="1">
        <v>2.98</v>
      </c>
    </row>
    <row r="26" spans="1:7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1">
        <v>6.14</v>
      </c>
      <c r="G26" s="1">
        <v>6.97</v>
      </c>
    </row>
    <row r="27" spans="1:7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1">
        <v>5.6</v>
      </c>
      <c r="G27" s="1">
        <v>5.31</v>
      </c>
    </row>
    <row r="28" spans="1:7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1">
        <v>5.12</v>
      </c>
      <c r="G28" s="1">
        <v>4.32</v>
      </c>
    </row>
    <row r="29" spans="1:7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1">
        <v>5.22</v>
      </c>
      <c r="G29" s="1">
        <v>4.74</v>
      </c>
    </row>
    <row r="30" spans="1:7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1">
        <v>4.09</v>
      </c>
      <c r="G30" s="1">
        <v>4.05</v>
      </c>
    </row>
    <row r="31" spans="1:7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1">
        <v>7.47</v>
      </c>
      <c r="G31" s="1">
        <v>6.35</v>
      </c>
    </row>
    <row r="32" spans="1:7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1">
        <v>6.35</v>
      </c>
      <c r="G32" s="1">
        <v>7.74</v>
      </c>
    </row>
    <row r="33" spans="1:7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1">
        <v>8.7799999999999994</v>
      </c>
      <c r="G33" s="1">
        <v>8.26</v>
      </c>
    </row>
    <row r="34" spans="1:7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1">
        <v>14.82</v>
      </c>
      <c r="G34" s="1">
        <v>9.31</v>
      </c>
    </row>
    <row r="35" spans="1:7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1">
        <v>6.56</v>
      </c>
      <c r="G35" s="1">
        <v>7.47</v>
      </c>
    </row>
    <row r="36" spans="1:7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1">
        <v>11.97</v>
      </c>
      <c r="G36" s="1">
        <v>9.15</v>
      </c>
    </row>
    <row r="37" spans="1:7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1">
        <v>12.05</v>
      </c>
      <c r="G37" s="1">
        <v>10.199999999999999</v>
      </c>
    </row>
    <row r="38" spans="1:7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1">
        <v>4.95</v>
      </c>
      <c r="G38" s="1">
        <v>3.45</v>
      </c>
    </row>
    <row r="39" spans="1:7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1">
        <v>4.8899999999999997</v>
      </c>
      <c r="G39" s="1">
        <v>4.9400000000000004</v>
      </c>
    </row>
    <row r="40" spans="1:7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2"/>
      <c r="G40" s="32"/>
    </row>
    <row r="41" spans="1:7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1">
        <v>3.67</v>
      </c>
      <c r="G41" s="1">
        <v>3.43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693B-6207-2F46-B847-74C3F3F6CB0C}">
  <dimension ref="A1:F41"/>
  <sheetViews>
    <sheetView workbookViewId="0">
      <selection activeCell="F23" sqref="A1:F41"/>
    </sheetView>
  </sheetViews>
  <sheetFormatPr baseColWidth="10" defaultRowHeight="16" x14ac:dyDescent="0.2"/>
  <sheetData>
    <row r="1" spans="1:6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1">
        <v>60</v>
      </c>
    </row>
    <row r="3" spans="1:6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1">
        <v>7.16</v>
      </c>
    </row>
    <row r="4" spans="1:6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1">
        <v>38.92</v>
      </c>
    </row>
    <row r="5" spans="1:6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1">
        <v>60</v>
      </c>
    </row>
    <row r="6" spans="1:6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1">
        <v>60</v>
      </c>
    </row>
    <row r="7" spans="1:6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1">
        <v>19.36</v>
      </c>
    </row>
    <row r="8" spans="1:6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1">
        <v>50.23</v>
      </c>
    </row>
    <row r="9" spans="1:6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1">
        <v>9.73</v>
      </c>
    </row>
    <row r="10" spans="1:6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1">
        <v>12.59</v>
      </c>
    </row>
    <row r="11" spans="1:6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1">
        <v>10.41</v>
      </c>
    </row>
    <row r="12" spans="1:6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1">
        <v>8.59</v>
      </c>
    </row>
    <row r="13" spans="1:6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1">
        <v>6.42</v>
      </c>
    </row>
    <row r="14" spans="1:6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1">
        <v>12.95</v>
      </c>
    </row>
    <row r="15" spans="1:6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1">
        <v>12.9</v>
      </c>
    </row>
    <row r="16" spans="1:6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1">
        <v>8.7100000000000009</v>
      </c>
    </row>
    <row r="17" spans="1:6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1">
        <v>10.26</v>
      </c>
    </row>
    <row r="18" spans="1:6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1">
        <v>22.61</v>
      </c>
    </row>
    <row r="19" spans="1:6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1">
        <v>12.94</v>
      </c>
    </row>
    <row r="20" spans="1:6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1">
        <v>15.91</v>
      </c>
    </row>
    <row r="21" spans="1:6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1">
        <v>6.25</v>
      </c>
    </row>
    <row r="22" spans="1:6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1">
        <v>12.44</v>
      </c>
    </row>
    <row r="23" spans="1:6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1">
        <v>60</v>
      </c>
    </row>
    <row r="24" spans="1:6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 s="1">
        <v>60</v>
      </c>
    </row>
    <row r="25" spans="1:6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1">
        <v>60</v>
      </c>
    </row>
    <row r="26" spans="1:6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1">
        <v>60</v>
      </c>
    </row>
    <row r="27" spans="1:6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1">
        <v>60</v>
      </c>
    </row>
    <row r="28" spans="1:6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1">
        <v>60</v>
      </c>
    </row>
    <row r="29" spans="1:6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1">
        <v>41.04</v>
      </c>
    </row>
    <row r="30" spans="1:6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1">
        <v>60</v>
      </c>
    </row>
    <row r="31" spans="1:6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1">
        <v>15.93</v>
      </c>
    </row>
    <row r="32" spans="1:6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1">
        <v>15.38</v>
      </c>
    </row>
    <row r="33" spans="1:6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1">
        <v>13.97</v>
      </c>
    </row>
    <row r="34" spans="1:6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1">
        <v>16.46</v>
      </c>
    </row>
    <row r="35" spans="1:6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1">
        <v>19.27</v>
      </c>
    </row>
    <row r="36" spans="1:6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1">
        <v>24.76</v>
      </c>
    </row>
    <row r="37" spans="1:6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1">
        <v>17.23</v>
      </c>
    </row>
    <row r="38" spans="1:6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1">
        <v>7.19</v>
      </c>
    </row>
    <row r="39" spans="1:6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1">
        <v>4</v>
      </c>
    </row>
    <row r="40" spans="1:6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2"/>
    </row>
    <row r="41" spans="1:6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467B-34CC-324E-B898-F86317A4BF26}">
  <dimension ref="A1:G41"/>
  <sheetViews>
    <sheetView tabSelected="1" topLeftCell="A8" workbookViewId="0">
      <selection activeCell="F40" sqref="F40:G40"/>
    </sheetView>
  </sheetViews>
  <sheetFormatPr baseColWidth="10" defaultRowHeight="16" x14ac:dyDescent="0.2"/>
  <sheetData>
    <row r="1" spans="1:7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1">
        <v>1.71</v>
      </c>
      <c r="G2" s="1">
        <v>1.95</v>
      </c>
    </row>
    <row r="3" spans="1:7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1">
        <v>2.65</v>
      </c>
      <c r="G3" s="1">
        <v>1.76</v>
      </c>
    </row>
    <row r="4" spans="1:7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1">
        <v>2.97</v>
      </c>
      <c r="G4" s="1">
        <v>1.95</v>
      </c>
    </row>
    <row r="5" spans="1:7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1">
        <v>1.1100000000000001</v>
      </c>
      <c r="G5" s="1">
        <v>1.21</v>
      </c>
    </row>
    <row r="6" spans="1:7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1">
        <v>1.1499999999999999</v>
      </c>
      <c r="G6" s="1">
        <v>1</v>
      </c>
    </row>
    <row r="7" spans="1:7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1">
        <v>2.4700000000000002</v>
      </c>
      <c r="G7" s="1">
        <v>1.2</v>
      </c>
    </row>
    <row r="8" spans="1:7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1">
        <v>1.4</v>
      </c>
      <c r="G8" s="1">
        <v>1.83</v>
      </c>
    </row>
    <row r="9" spans="1:7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1">
        <v>2.25</v>
      </c>
      <c r="G9" s="1">
        <v>2.4500000000000002</v>
      </c>
    </row>
    <row r="10" spans="1:7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1">
        <v>1.87</v>
      </c>
      <c r="G10" s="1">
        <v>2.2999999999999998</v>
      </c>
    </row>
    <row r="11" spans="1:7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1">
        <v>2.6</v>
      </c>
      <c r="G11" s="1">
        <v>2.66</v>
      </c>
    </row>
    <row r="12" spans="1:7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1">
        <v>3.4</v>
      </c>
      <c r="G12" s="1">
        <v>2.75</v>
      </c>
    </row>
    <row r="13" spans="1:7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1">
        <v>6.34</v>
      </c>
      <c r="G13" s="1">
        <v>9.3000000000000007</v>
      </c>
    </row>
    <row r="14" spans="1:7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1">
        <v>2.85</v>
      </c>
      <c r="G14" s="1">
        <v>2.08</v>
      </c>
    </row>
    <row r="15" spans="1:7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1">
        <v>1.77</v>
      </c>
      <c r="G15" s="1">
        <v>3.22</v>
      </c>
    </row>
    <row r="16" spans="1:7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1">
        <v>1.46</v>
      </c>
      <c r="G16" s="1">
        <v>2.68</v>
      </c>
    </row>
    <row r="17" spans="1:7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1">
        <v>2.4</v>
      </c>
      <c r="G17" s="1">
        <v>1.53</v>
      </c>
    </row>
    <row r="18" spans="1:7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1">
        <v>2.62</v>
      </c>
      <c r="G18" s="1">
        <v>1.55</v>
      </c>
    </row>
    <row r="19" spans="1:7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1">
        <v>2.88</v>
      </c>
      <c r="G19" s="1">
        <v>1.92</v>
      </c>
    </row>
    <row r="20" spans="1:7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1">
        <v>2.0299999999999998</v>
      </c>
      <c r="G20" s="1">
        <v>1.48</v>
      </c>
    </row>
    <row r="21" spans="1:7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1">
        <v>3.66</v>
      </c>
      <c r="G21" s="1">
        <v>3.3</v>
      </c>
    </row>
    <row r="22" spans="1:7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1">
        <v>2.1</v>
      </c>
      <c r="G22" s="1">
        <v>1.1000000000000001</v>
      </c>
    </row>
    <row r="23" spans="1:7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1">
        <v>2.35</v>
      </c>
      <c r="G23" s="1">
        <v>2</v>
      </c>
    </row>
    <row r="24" spans="1:7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 s="1">
        <v>1.36</v>
      </c>
      <c r="G24" s="1">
        <v>1.1499999999999999</v>
      </c>
    </row>
    <row r="25" spans="1:7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1">
        <v>0.98</v>
      </c>
      <c r="G25" s="1">
        <v>1.01</v>
      </c>
    </row>
    <row r="26" spans="1:7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1">
        <v>1.1000000000000001</v>
      </c>
      <c r="G26" s="1">
        <v>1.35</v>
      </c>
    </row>
    <row r="27" spans="1:7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1">
        <v>1.43</v>
      </c>
      <c r="G27" s="1">
        <v>1.48</v>
      </c>
    </row>
    <row r="28" spans="1:7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1">
        <v>2.17</v>
      </c>
      <c r="G28" s="1">
        <v>1.68</v>
      </c>
    </row>
    <row r="29" spans="1:7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1">
        <v>1.35</v>
      </c>
      <c r="G29" s="1">
        <v>1.97</v>
      </c>
    </row>
    <row r="30" spans="1:7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1">
        <v>1.05</v>
      </c>
      <c r="G30" s="1">
        <v>1.23</v>
      </c>
    </row>
    <row r="31" spans="1:7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1">
        <v>2.4</v>
      </c>
      <c r="G31" s="1">
        <v>7.38</v>
      </c>
    </row>
    <row r="32" spans="1:7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1">
        <v>2.75</v>
      </c>
      <c r="G32" s="1">
        <v>2.97</v>
      </c>
    </row>
    <row r="33" spans="1:7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1">
        <v>3.2</v>
      </c>
      <c r="G33" s="1">
        <v>4.84</v>
      </c>
    </row>
    <row r="34" spans="1:7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1">
        <v>8.48</v>
      </c>
      <c r="G34" s="1">
        <v>10.3</v>
      </c>
    </row>
    <row r="35" spans="1:7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1">
        <v>2.98</v>
      </c>
      <c r="G35" s="1">
        <v>2.25</v>
      </c>
    </row>
    <row r="36" spans="1:7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1">
        <v>1.6</v>
      </c>
      <c r="G36" s="1">
        <v>1.31</v>
      </c>
    </row>
    <row r="37" spans="1:7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1">
        <v>1.98</v>
      </c>
      <c r="G37" s="1">
        <v>5.24</v>
      </c>
    </row>
    <row r="38" spans="1:7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1">
        <v>3.19</v>
      </c>
      <c r="G38" s="1">
        <v>3.64</v>
      </c>
    </row>
    <row r="39" spans="1:7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1">
        <v>2.12</v>
      </c>
      <c r="G39" s="1">
        <v>1.56</v>
      </c>
    </row>
    <row r="40" spans="1:7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2"/>
      <c r="G40" s="32"/>
    </row>
    <row r="41" spans="1:7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1">
        <v>1.1100000000000001</v>
      </c>
      <c r="G41" s="1">
        <v>2.35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872-C329-0E41-8729-87740A72EC90}">
  <dimension ref="A1:F41"/>
  <sheetViews>
    <sheetView workbookViewId="0">
      <selection activeCell="I10" sqref="I10"/>
    </sheetView>
  </sheetViews>
  <sheetFormatPr baseColWidth="10" defaultRowHeight="16" x14ac:dyDescent="0.2"/>
  <sheetData>
    <row r="1" spans="1:6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1">
        <v>1</v>
      </c>
    </row>
    <row r="3" spans="1:6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1">
        <v>2</v>
      </c>
    </row>
    <row r="4" spans="1:6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1">
        <v>0.5</v>
      </c>
    </row>
    <row r="5" spans="1:6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1">
        <v>0</v>
      </c>
    </row>
    <row r="6" spans="1:6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1">
        <v>0</v>
      </c>
    </row>
    <row r="7" spans="1:6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1">
        <v>0</v>
      </c>
    </row>
    <row r="8" spans="1:6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1">
        <v>1</v>
      </c>
    </row>
    <row r="9" spans="1:6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1">
        <v>1.5</v>
      </c>
    </row>
    <row r="10" spans="1:6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1">
        <v>1.5</v>
      </c>
    </row>
    <row r="11" spans="1:6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1">
        <v>2</v>
      </c>
    </row>
    <row r="12" spans="1:6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1">
        <v>2</v>
      </c>
    </row>
    <row r="13" spans="1:6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1">
        <v>3</v>
      </c>
    </row>
    <row r="14" spans="1:6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1">
        <v>2.5</v>
      </c>
    </row>
    <row r="15" spans="1:6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1">
        <v>1</v>
      </c>
    </row>
    <row r="16" spans="1:6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1">
        <v>2.5</v>
      </c>
    </row>
    <row r="17" spans="1:6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1">
        <v>3</v>
      </c>
    </row>
    <row r="18" spans="1:6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1">
        <v>0</v>
      </c>
    </row>
    <row r="19" spans="1:6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1">
        <v>2.5</v>
      </c>
    </row>
    <row r="20" spans="1:6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1">
        <v>0</v>
      </c>
    </row>
    <row r="21" spans="1:6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1">
        <v>1</v>
      </c>
    </row>
    <row r="22" spans="1:6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1">
        <v>1</v>
      </c>
    </row>
    <row r="23" spans="1:6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1">
        <v>1</v>
      </c>
    </row>
    <row r="24" spans="1:6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 s="1">
        <v>0</v>
      </c>
    </row>
    <row r="25" spans="1:6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1">
        <v>1.5</v>
      </c>
    </row>
    <row r="26" spans="1:6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1">
        <v>1.5</v>
      </c>
    </row>
    <row r="27" spans="1:6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1">
        <v>0</v>
      </c>
    </row>
    <row r="28" spans="1:6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1">
        <v>0</v>
      </c>
    </row>
    <row r="29" spans="1:6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1">
        <v>0</v>
      </c>
    </row>
    <row r="30" spans="1:6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1">
        <v>1</v>
      </c>
    </row>
    <row r="31" spans="1:6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1">
        <v>2</v>
      </c>
    </row>
    <row r="32" spans="1:6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1">
        <v>2.5</v>
      </c>
    </row>
    <row r="33" spans="1:6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1">
        <v>1</v>
      </c>
    </row>
    <row r="34" spans="1:6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1">
        <v>2</v>
      </c>
    </row>
    <row r="35" spans="1:6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1">
        <v>1.5</v>
      </c>
    </row>
    <row r="36" spans="1:6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1">
        <v>0</v>
      </c>
    </row>
    <row r="37" spans="1:6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1">
        <v>0</v>
      </c>
    </row>
    <row r="38" spans="1:6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1">
        <v>0</v>
      </c>
    </row>
    <row r="39" spans="1:6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1">
        <v>0.5</v>
      </c>
    </row>
    <row r="40" spans="1:6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2"/>
    </row>
    <row r="41" spans="1:6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C826-9FCF-6740-B9FB-EBA1A33627DB}">
  <dimension ref="A1:I41"/>
  <sheetViews>
    <sheetView workbookViewId="0">
      <selection activeCell="J11" sqref="J11"/>
    </sheetView>
  </sheetViews>
  <sheetFormatPr baseColWidth="10" defaultRowHeight="16" x14ac:dyDescent="0.2"/>
  <sheetData>
    <row r="1" spans="1:9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67</v>
      </c>
      <c r="G1" t="s">
        <v>68</v>
      </c>
      <c r="H1" t="s">
        <v>69</v>
      </c>
      <c r="I1" t="s">
        <v>70</v>
      </c>
    </row>
    <row r="2" spans="1:9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1">
        <v>7</v>
      </c>
      <c r="I2" s="1">
        <v>8</v>
      </c>
    </row>
    <row r="3" spans="1:9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1">
        <v>9</v>
      </c>
      <c r="I3" s="1">
        <v>9</v>
      </c>
    </row>
    <row r="4" spans="1:9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1">
        <v>1</v>
      </c>
      <c r="I4" s="1">
        <v>3</v>
      </c>
    </row>
    <row r="5" spans="1:9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1">
        <v>7</v>
      </c>
      <c r="I5" s="1">
        <v>7</v>
      </c>
    </row>
    <row r="6" spans="1:9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1">
        <v>11</v>
      </c>
      <c r="I6" s="1">
        <v>11</v>
      </c>
    </row>
    <row r="7" spans="1:9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1">
        <v>11</v>
      </c>
      <c r="I7" s="1">
        <v>11</v>
      </c>
    </row>
    <row r="8" spans="1:9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1">
        <v>8</v>
      </c>
      <c r="I8" s="1">
        <v>10</v>
      </c>
    </row>
    <row r="9" spans="1:9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1">
        <v>3</v>
      </c>
      <c r="I9" s="1">
        <v>5</v>
      </c>
    </row>
    <row r="10" spans="1:9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1">
        <v>5</v>
      </c>
      <c r="I10" s="1">
        <v>5</v>
      </c>
    </row>
    <row r="11" spans="1:9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1">
        <v>0</v>
      </c>
      <c r="I11" s="1">
        <v>2</v>
      </c>
    </row>
    <row r="12" spans="1:9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17">
        <v>1</v>
      </c>
      <c r="I12" s="17">
        <v>1</v>
      </c>
    </row>
    <row r="13" spans="1:9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1">
        <v>5</v>
      </c>
      <c r="I13" s="1">
        <v>7</v>
      </c>
    </row>
    <row r="14" spans="1:9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1">
        <v>3</v>
      </c>
      <c r="I14" s="1">
        <v>3</v>
      </c>
    </row>
    <row r="15" spans="1:9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1">
        <v>3</v>
      </c>
      <c r="I15" s="1">
        <v>11</v>
      </c>
    </row>
    <row r="16" spans="1:9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1">
        <v>5</v>
      </c>
      <c r="I16" s="1">
        <v>5</v>
      </c>
    </row>
    <row r="17" spans="1:9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1">
        <v>2</v>
      </c>
      <c r="I17" s="1">
        <v>2</v>
      </c>
    </row>
    <row r="18" spans="1:9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1">
        <v>0</v>
      </c>
      <c r="I18" s="1">
        <v>2</v>
      </c>
    </row>
    <row r="19" spans="1:9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1">
        <v>4</v>
      </c>
      <c r="I19" s="1">
        <v>8</v>
      </c>
    </row>
    <row r="20" spans="1:9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1">
        <v>8</v>
      </c>
      <c r="I20" s="1">
        <v>16</v>
      </c>
    </row>
    <row r="21" spans="1:9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1">
        <v>6</v>
      </c>
      <c r="I21" s="1">
        <v>10</v>
      </c>
    </row>
    <row r="22" spans="1:9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1">
        <v>3</v>
      </c>
      <c r="I22" s="1">
        <v>4</v>
      </c>
    </row>
    <row r="23" spans="1:9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1">
        <v>3</v>
      </c>
      <c r="I23" s="1">
        <v>6</v>
      </c>
    </row>
    <row r="24" spans="1:9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 s="1">
        <v>5</v>
      </c>
      <c r="I24" s="1">
        <v>6</v>
      </c>
    </row>
    <row r="25" spans="1:9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1">
        <v>4</v>
      </c>
      <c r="I25" s="1">
        <v>4</v>
      </c>
    </row>
    <row r="26" spans="1:9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1">
        <v>3</v>
      </c>
      <c r="I26" s="1">
        <v>5</v>
      </c>
    </row>
    <row r="27" spans="1:9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1">
        <v>6</v>
      </c>
      <c r="I27" s="1">
        <v>8</v>
      </c>
    </row>
    <row r="28" spans="1:9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1">
        <v>9</v>
      </c>
      <c r="I28" s="1">
        <v>10</v>
      </c>
    </row>
    <row r="29" spans="1:9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1">
        <v>4</v>
      </c>
      <c r="I29" s="1">
        <v>5</v>
      </c>
    </row>
    <row r="30" spans="1:9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1">
        <v>3</v>
      </c>
      <c r="I30" s="1">
        <v>4</v>
      </c>
    </row>
    <row r="31" spans="1:9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1">
        <v>6</v>
      </c>
      <c r="I31" s="1">
        <v>6</v>
      </c>
    </row>
    <row r="32" spans="1:9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1">
        <v>9</v>
      </c>
      <c r="I32" s="1">
        <v>9</v>
      </c>
    </row>
    <row r="33" spans="1:9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17">
        <v>0</v>
      </c>
      <c r="I33" s="17">
        <v>3</v>
      </c>
    </row>
    <row r="34" spans="1:9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1">
        <v>7</v>
      </c>
      <c r="I34" s="1">
        <v>8</v>
      </c>
    </row>
    <row r="35" spans="1:9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1">
        <v>5</v>
      </c>
      <c r="I35" s="1">
        <v>6</v>
      </c>
    </row>
    <row r="36" spans="1:9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1">
        <v>3</v>
      </c>
      <c r="I36" s="1">
        <v>4</v>
      </c>
    </row>
    <row r="37" spans="1:9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1">
        <v>6</v>
      </c>
      <c r="I37" s="1">
        <v>8</v>
      </c>
    </row>
    <row r="38" spans="1:9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1">
        <v>7</v>
      </c>
      <c r="I38" s="1">
        <v>8</v>
      </c>
    </row>
    <row r="39" spans="1:9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1">
        <v>5</v>
      </c>
      <c r="I39" s="1">
        <v>5</v>
      </c>
    </row>
    <row r="40" spans="1:9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3"/>
      <c r="G40" s="32"/>
      <c r="H40" s="32"/>
      <c r="I40" s="33"/>
    </row>
    <row r="41" spans="1:9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1">
        <v>4</v>
      </c>
      <c r="I41" s="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1197-672B-B342-9A76-C2E08E046260}">
  <dimension ref="A1:F41"/>
  <sheetViews>
    <sheetView workbookViewId="0">
      <selection activeCell="F40" sqref="F40"/>
    </sheetView>
  </sheetViews>
  <sheetFormatPr baseColWidth="10" defaultRowHeight="16" x14ac:dyDescent="0.2"/>
  <sheetData>
    <row r="1" spans="1:6" x14ac:dyDescent="0.2">
      <c r="A1" t="s">
        <v>54</v>
      </c>
      <c r="B1" t="s">
        <v>2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">
      <c r="A2" s="32">
        <v>1</v>
      </c>
      <c r="B2" s="33" t="s">
        <v>14</v>
      </c>
      <c r="C2" s="32" t="s">
        <v>62</v>
      </c>
      <c r="D2" s="32">
        <v>1</v>
      </c>
      <c r="E2" s="33">
        <v>2328</v>
      </c>
      <c r="F2" s="1">
        <v>3.5</v>
      </c>
    </row>
    <row r="3" spans="1:6" x14ac:dyDescent="0.2">
      <c r="A3" s="32">
        <v>1</v>
      </c>
      <c r="B3" s="33" t="s">
        <v>14</v>
      </c>
      <c r="C3" s="32" t="s">
        <v>62</v>
      </c>
      <c r="D3" s="32">
        <v>1</v>
      </c>
      <c r="E3" s="33">
        <v>2330</v>
      </c>
      <c r="F3" s="1">
        <v>4</v>
      </c>
    </row>
    <row r="4" spans="1:6" x14ac:dyDescent="0.2">
      <c r="A4" s="32">
        <v>1</v>
      </c>
      <c r="B4" s="33" t="s">
        <v>14</v>
      </c>
      <c r="C4" s="32" t="s">
        <v>62</v>
      </c>
      <c r="D4" s="32">
        <v>1</v>
      </c>
      <c r="E4" s="33">
        <v>2332</v>
      </c>
      <c r="F4" s="1">
        <v>4</v>
      </c>
    </row>
    <row r="5" spans="1:6" x14ac:dyDescent="0.2">
      <c r="A5" s="32">
        <v>1</v>
      </c>
      <c r="B5" s="33" t="s">
        <v>14</v>
      </c>
      <c r="C5" s="32" t="s">
        <v>62</v>
      </c>
      <c r="D5" s="32">
        <v>1</v>
      </c>
      <c r="E5" s="33">
        <v>2337</v>
      </c>
      <c r="F5" s="1">
        <v>4</v>
      </c>
    </row>
    <row r="6" spans="1:6" x14ac:dyDescent="0.2">
      <c r="A6" s="32">
        <v>1</v>
      </c>
      <c r="B6" s="33" t="s">
        <v>14</v>
      </c>
      <c r="C6" s="32" t="s">
        <v>62</v>
      </c>
      <c r="D6" s="32">
        <v>1</v>
      </c>
      <c r="E6" s="33">
        <v>2338</v>
      </c>
      <c r="F6" s="1">
        <v>4</v>
      </c>
    </row>
    <row r="7" spans="1:6" x14ac:dyDescent="0.2">
      <c r="A7" s="32">
        <v>1</v>
      </c>
      <c r="B7" s="33" t="s">
        <v>14</v>
      </c>
      <c r="C7" s="32" t="s">
        <v>62</v>
      </c>
      <c r="D7" s="32">
        <v>2</v>
      </c>
      <c r="E7" s="33">
        <v>2348</v>
      </c>
      <c r="F7" s="1">
        <v>4.5</v>
      </c>
    </row>
    <row r="8" spans="1:6" x14ac:dyDescent="0.2">
      <c r="A8" s="32">
        <v>1</v>
      </c>
      <c r="B8" s="33" t="s">
        <v>14</v>
      </c>
      <c r="C8" s="32" t="s">
        <v>62</v>
      </c>
      <c r="D8" s="32">
        <v>2</v>
      </c>
      <c r="E8" s="33">
        <v>2349</v>
      </c>
      <c r="F8" s="1">
        <v>4.5</v>
      </c>
    </row>
    <row r="9" spans="1:6" x14ac:dyDescent="0.2">
      <c r="A9" s="32">
        <v>1</v>
      </c>
      <c r="B9" s="33" t="s">
        <v>61</v>
      </c>
      <c r="C9" s="32" t="s">
        <v>62</v>
      </c>
      <c r="D9" s="32">
        <v>3</v>
      </c>
      <c r="E9" s="33">
        <v>2334</v>
      </c>
      <c r="F9" s="1">
        <v>3</v>
      </c>
    </row>
    <row r="10" spans="1:6" x14ac:dyDescent="0.2">
      <c r="A10" s="32">
        <v>1</v>
      </c>
      <c r="B10" s="33" t="s">
        <v>61</v>
      </c>
      <c r="C10" s="32" t="s">
        <v>62</v>
      </c>
      <c r="D10" s="32">
        <v>3</v>
      </c>
      <c r="E10" s="33">
        <v>2335</v>
      </c>
      <c r="F10" s="1">
        <v>2.5</v>
      </c>
    </row>
    <row r="11" spans="1:6" x14ac:dyDescent="0.2">
      <c r="A11" s="32">
        <v>1</v>
      </c>
      <c r="B11" s="33" t="s">
        <v>61</v>
      </c>
      <c r="C11" s="32" t="s">
        <v>62</v>
      </c>
      <c r="D11" s="32">
        <v>3</v>
      </c>
      <c r="E11" s="33">
        <v>2336</v>
      </c>
      <c r="F11" s="1">
        <v>3</v>
      </c>
    </row>
    <row r="12" spans="1:6" x14ac:dyDescent="0.2">
      <c r="A12" s="32">
        <v>1</v>
      </c>
      <c r="B12" s="33" t="s">
        <v>61</v>
      </c>
      <c r="C12" s="32" t="s">
        <v>62</v>
      </c>
      <c r="D12" s="32">
        <v>3</v>
      </c>
      <c r="E12" s="33">
        <v>2333</v>
      </c>
      <c r="F12" s="17">
        <v>3</v>
      </c>
    </row>
    <row r="13" spans="1:6" x14ac:dyDescent="0.2">
      <c r="A13" s="32">
        <v>1</v>
      </c>
      <c r="B13" s="33" t="s">
        <v>61</v>
      </c>
      <c r="C13" s="32" t="s">
        <v>62</v>
      </c>
      <c r="D13" s="32">
        <v>4</v>
      </c>
      <c r="E13" s="33">
        <v>2350</v>
      </c>
      <c r="F13" s="1">
        <v>3.5</v>
      </c>
    </row>
    <row r="14" spans="1:6" x14ac:dyDescent="0.2">
      <c r="A14" s="32">
        <v>1</v>
      </c>
      <c r="B14" s="33" t="s">
        <v>61</v>
      </c>
      <c r="C14" s="32" t="s">
        <v>62</v>
      </c>
      <c r="D14" s="32">
        <v>4</v>
      </c>
      <c r="E14" s="33">
        <v>2351</v>
      </c>
      <c r="F14" s="1">
        <v>2.5</v>
      </c>
    </row>
    <row r="15" spans="1:6" x14ac:dyDescent="0.2">
      <c r="A15" s="32">
        <v>1</v>
      </c>
      <c r="B15" s="33" t="s">
        <v>61</v>
      </c>
      <c r="C15" s="32" t="s">
        <v>60</v>
      </c>
      <c r="D15" s="32">
        <v>5</v>
      </c>
      <c r="E15" s="33">
        <v>2327</v>
      </c>
      <c r="F15" s="1">
        <v>3</v>
      </c>
    </row>
    <row r="16" spans="1:6" x14ac:dyDescent="0.2">
      <c r="A16" s="32">
        <v>1</v>
      </c>
      <c r="B16" s="33" t="s">
        <v>61</v>
      </c>
      <c r="C16" s="32" t="s">
        <v>60</v>
      </c>
      <c r="D16" s="32">
        <v>5</v>
      </c>
      <c r="E16" s="33">
        <v>2329</v>
      </c>
      <c r="F16" s="1">
        <v>4</v>
      </c>
    </row>
    <row r="17" spans="1:6" x14ac:dyDescent="0.2">
      <c r="A17" s="32">
        <v>1</v>
      </c>
      <c r="B17" s="33" t="s">
        <v>61</v>
      </c>
      <c r="C17" s="32" t="s">
        <v>60</v>
      </c>
      <c r="D17" s="32">
        <v>5</v>
      </c>
      <c r="E17" s="33">
        <v>2331</v>
      </c>
      <c r="F17" s="1">
        <v>3.5</v>
      </c>
    </row>
    <row r="18" spans="1:6" x14ac:dyDescent="0.2">
      <c r="A18" s="32">
        <v>1</v>
      </c>
      <c r="B18" s="33" t="s">
        <v>61</v>
      </c>
      <c r="C18" s="32" t="s">
        <v>60</v>
      </c>
      <c r="D18" s="32">
        <v>6</v>
      </c>
      <c r="E18" s="33">
        <v>2339</v>
      </c>
      <c r="F18" s="1">
        <v>2.5</v>
      </c>
    </row>
    <row r="19" spans="1:6" x14ac:dyDescent="0.2">
      <c r="A19" s="32">
        <v>1</v>
      </c>
      <c r="B19" s="33" t="s">
        <v>61</v>
      </c>
      <c r="C19" s="32" t="s">
        <v>60</v>
      </c>
      <c r="D19" s="32">
        <v>6</v>
      </c>
      <c r="E19" s="33">
        <v>2341</v>
      </c>
      <c r="F19" s="1">
        <v>3</v>
      </c>
    </row>
    <row r="20" spans="1:6" x14ac:dyDescent="0.2">
      <c r="A20" s="32">
        <v>1</v>
      </c>
      <c r="B20" s="33" t="s">
        <v>61</v>
      </c>
      <c r="C20" s="32" t="s">
        <v>60</v>
      </c>
      <c r="D20" s="32">
        <v>7</v>
      </c>
      <c r="E20" s="33">
        <v>2345</v>
      </c>
      <c r="F20" s="1">
        <v>4</v>
      </c>
    </row>
    <row r="21" spans="1:6" x14ac:dyDescent="0.2">
      <c r="A21" s="32">
        <v>1</v>
      </c>
      <c r="B21" s="33" t="s">
        <v>61</v>
      </c>
      <c r="C21" s="32" t="s">
        <v>60</v>
      </c>
      <c r="D21" s="32">
        <v>7</v>
      </c>
      <c r="E21" s="32">
        <v>2346</v>
      </c>
      <c r="F21" s="1">
        <v>4</v>
      </c>
    </row>
    <row r="22" spans="1:6" x14ac:dyDescent="0.2">
      <c r="A22" s="32">
        <v>1</v>
      </c>
      <c r="B22" s="33" t="s">
        <v>61</v>
      </c>
      <c r="C22" s="32" t="s">
        <v>60</v>
      </c>
      <c r="D22" s="32">
        <v>7</v>
      </c>
      <c r="E22" s="33">
        <v>2347</v>
      </c>
      <c r="F22" s="1">
        <v>3</v>
      </c>
    </row>
    <row r="23" spans="1:6" x14ac:dyDescent="0.2">
      <c r="A23" s="32">
        <v>2</v>
      </c>
      <c r="B23" s="33" t="s">
        <v>14</v>
      </c>
      <c r="C23" s="32" t="s">
        <v>62</v>
      </c>
      <c r="D23" s="32">
        <v>8</v>
      </c>
      <c r="E23" s="33">
        <v>2352</v>
      </c>
      <c r="F23" s="1">
        <v>4</v>
      </c>
    </row>
    <row r="24" spans="1:6" x14ac:dyDescent="0.2">
      <c r="A24" s="32">
        <v>2</v>
      </c>
      <c r="B24" s="33" t="s">
        <v>14</v>
      </c>
      <c r="C24" s="32" t="s">
        <v>62</v>
      </c>
      <c r="D24" s="32">
        <v>8</v>
      </c>
      <c r="E24" s="33">
        <v>2353</v>
      </c>
      <c r="F24" s="1">
        <v>4</v>
      </c>
    </row>
    <row r="25" spans="1:6" x14ac:dyDescent="0.2">
      <c r="A25" s="32">
        <v>2</v>
      </c>
      <c r="B25" s="33" t="s">
        <v>14</v>
      </c>
      <c r="C25" s="32" t="s">
        <v>62</v>
      </c>
      <c r="D25" s="32">
        <v>9</v>
      </c>
      <c r="E25" s="33">
        <v>2359</v>
      </c>
      <c r="F25" s="1">
        <v>3</v>
      </c>
    </row>
    <row r="26" spans="1:6" x14ac:dyDescent="0.2">
      <c r="A26" s="32">
        <v>2</v>
      </c>
      <c r="B26" s="33" t="s">
        <v>14</v>
      </c>
      <c r="C26" s="32" t="s">
        <v>62</v>
      </c>
      <c r="D26" s="32">
        <v>9</v>
      </c>
      <c r="E26" s="33">
        <v>2360</v>
      </c>
      <c r="F26" s="1">
        <v>4</v>
      </c>
    </row>
    <row r="27" spans="1:6" x14ac:dyDescent="0.2">
      <c r="A27" s="32">
        <v>2</v>
      </c>
      <c r="B27" s="33" t="s">
        <v>14</v>
      </c>
      <c r="C27" s="32" t="s">
        <v>62</v>
      </c>
      <c r="D27" s="32">
        <v>10</v>
      </c>
      <c r="E27" s="33">
        <v>2371</v>
      </c>
      <c r="F27" s="1">
        <v>4</v>
      </c>
    </row>
    <row r="28" spans="1:6" x14ac:dyDescent="0.2">
      <c r="A28" s="32">
        <v>2</v>
      </c>
      <c r="B28" s="33" t="s">
        <v>14</v>
      </c>
      <c r="C28" s="32" t="s">
        <v>62</v>
      </c>
      <c r="D28" s="32">
        <v>10</v>
      </c>
      <c r="E28" s="33">
        <v>2372</v>
      </c>
      <c r="F28" s="1">
        <v>4</v>
      </c>
    </row>
    <row r="29" spans="1:6" x14ac:dyDescent="0.2">
      <c r="A29" s="32">
        <v>2</v>
      </c>
      <c r="B29" s="33" t="s">
        <v>14</v>
      </c>
      <c r="C29" s="32" t="s">
        <v>62</v>
      </c>
      <c r="D29" s="32">
        <v>10</v>
      </c>
      <c r="E29" s="33">
        <v>2375</v>
      </c>
      <c r="F29" s="1">
        <v>3.5</v>
      </c>
    </row>
    <row r="30" spans="1:6" x14ac:dyDescent="0.2">
      <c r="A30" s="32">
        <v>2</v>
      </c>
      <c r="B30" s="33" t="s">
        <v>14</v>
      </c>
      <c r="C30" s="32" t="s">
        <v>62</v>
      </c>
      <c r="D30" s="32">
        <v>10</v>
      </c>
      <c r="E30" s="33">
        <v>2376</v>
      </c>
      <c r="F30" s="1">
        <v>3</v>
      </c>
    </row>
    <row r="31" spans="1:6" x14ac:dyDescent="0.2">
      <c r="A31" s="32">
        <v>2</v>
      </c>
      <c r="B31" s="33" t="s">
        <v>61</v>
      </c>
      <c r="C31" s="32" t="s">
        <v>62</v>
      </c>
      <c r="D31" s="32">
        <v>11</v>
      </c>
      <c r="E31" s="33">
        <v>2354</v>
      </c>
      <c r="F31" s="1">
        <v>2.5</v>
      </c>
    </row>
    <row r="32" spans="1:6" x14ac:dyDescent="0.2">
      <c r="A32" s="32">
        <v>2</v>
      </c>
      <c r="B32" s="33" t="s">
        <v>61</v>
      </c>
      <c r="C32" s="32" t="s">
        <v>62</v>
      </c>
      <c r="D32" s="32">
        <v>11</v>
      </c>
      <c r="E32" s="33">
        <v>2355</v>
      </c>
      <c r="F32" s="1">
        <v>2.5</v>
      </c>
    </row>
    <row r="33" spans="1:6" x14ac:dyDescent="0.2">
      <c r="A33" s="32">
        <v>2</v>
      </c>
      <c r="B33" s="33" t="s">
        <v>61</v>
      </c>
      <c r="C33" s="32" t="s">
        <v>62</v>
      </c>
      <c r="D33" s="32">
        <v>12</v>
      </c>
      <c r="E33" s="33">
        <v>2374</v>
      </c>
      <c r="F33" s="17">
        <v>3</v>
      </c>
    </row>
    <row r="34" spans="1:6" x14ac:dyDescent="0.2">
      <c r="A34" s="32">
        <v>2</v>
      </c>
      <c r="B34" s="33" t="s">
        <v>61</v>
      </c>
      <c r="C34" s="32" t="s">
        <v>62</v>
      </c>
      <c r="D34" s="32">
        <v>12</v>
      </c>
      <c r="E34" s="33">
        <v>2377</v>
      </c>
      <c r="F34" s="1">
        <v>2.5</v>
      </c>
    </row>
    <row r="35" spans="1:6" x14ac:dyDescent="0.2">
      <c r="A35" s="32">
        <v>2</v>
      </c>
      <c r="B35" s="33" t="s">
        <v>61</v>
      </c>
      <c r="C35" s="32" t="s">
        <v>62</v>
      </c>
      <c r="D35" s="32">
        <v>12</v>
      </c>
      <c r="E35" s="33">
        <v>2370</v>
      </c>
      <c r="F35" s="1">
        <v>3</v>
      </c>
    </row>
    <row r="36" spans="1:6" x14ac:dyDescent="0.2">
      <c r="A36" s="32">
        <v>2</v>
      </c>
      <c r="B36" s="33" t="s">
        <v>61</v>
      </c>
      <c r="C36" s="32" t="s">
        <v>60</v>
      </c>
      <c r="D36" s="32">
        <v>13</v>
      </c>
      <c r="E36" s="33">
        <v>2356</v>
      </c>
      <c r="F36" s="1">
        <v>3.5</v>
      </c>
    </row>
    <row r="37" spans="1:6" x14ac:dyDescent="0.2">
      <c r="A37" s="32">
        <v>2</v>
      </c>
      <c r="B37" s="33" t="s">
        <v>61</v>
      </c>
      <c r="C37" s="32" t="s">
        <v>60</v>
      </c>
      <c r="D37" s="32">
        <v>13</v>
      </c>
      <c r="E37" s="33">
        <v>2357</v>
      </c>
      <c r="F37" s="1">
        <v>3.5</v>
      </c>
    </row>
    <row r="38" spans="1:6" x14ac:dyDescent="0.2">
      <c r="A38" s="32">
        <v>2</v>
      </c>
      <c r="B38" s="33" t="s">
        <v>61</v>
      </c>
      <c r="C38" s="32" t="s">
        <v>60</v>
      </c>
      <c r="D38" s="32">
        <v>14</v>
      </c>
      <c r="E38" s="33">
        <v>2358</v>
      </c>
      <c r="F38" s="1">
        <v>4</v>
      </c>
    </row>
    <row r="39" spans="1:6" x14ac:dyDescent="0.2">
      <c r="A39" s="32">
        <v>2</v>
      </c>
      <c r="B39" s="33" t="s">
        <v>61</v>
      </c>
      <c r="C39" s="32" t="s">
        <v>60</v>
      </c>
      <c r="D39" s="32">
        <v>14</v>
      </c>
      <c r="E39" s="33">
        <v>2361</v>
      </c>
      <c r="F39" s="1">
        <v>3</v>
      </c>
    </row>
    <row r="40" spans="1:6" x14ac:dyDescent="0.2">
      <c r="A40" s="32">
        <v>2</v>
      </c>
      <c r="B40" s="33" t="s">
        <v>61</v>
      </c>
      <c r="C40" s="32" t="s">
        <v>60</v>
      </c>
      <c r="D40" s="32">
        <v>15</v>
      </c>
      <c r="E40" s="33">
        <v>2368</v>
      </c>
      <c r="F40" s="33"/>
    </row>
    <row r="41" spans="1:6" x14ac:dyDescent="0.2">
      <c r="A41" s="32">
        <v>2</v>
      </c>
      <c r="B41" s="33" t="s">
        <v>61</v>
      </c>
      <c r="C41" s="32" t="s">
        <v>60</v>
      </c>
      <c r="D41" s="32">
        <v>15</v>
      </c>
      <c r="E41" s="33">
        <v>2362</v>
      </c>
      <c r="F41" s="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F9FF-4841-4242-89AE-955A67B6DBF0}">
  <dimension ref="A1:F41"/>
  <sheetViews>
    <sheetView topLeftCell="A2" workbookViewId="0">
      <selection activeCell="N22" sqref="N22"/>
    </sheetView>
  </sheetViews>
  <sheetFormatPr baseColWidth="10" defaultRowHeight="16" x14ac:dyDescent="0.2"/>
  <sheetData>
    <row r="1" spans="1:6" x14ac:dyDescent="0.2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">
      <c r="A2" s="1">
        <v>1</v>
      </c>
      <c r="B2" s="1" t="s">
        <v>14</v>
      </c>
      <c r="C2" s="1" t="s">
        <v>62</v>
      </c>
      <c r="D2" s="1">
        <v>1</v>
      </c>
      <c r="E2" s="1">
        <v>2328</v>
      </c>
      <c r="F2" s="1">
        <v>55.696202531645568</v>
      </c>
    </row>
    <row r="3" spans="1:6" x14ac:dyDescent="0.2">
      <c r="A3" s="1">
        <v>1</v>
      </c>
      <c r="B3" s="1" t="s">
        <v>14</v>
      </c>
      <c r="C3" s="1" t="s">
        <v>62</v>
      </c>
      <c r="D3" s="1">
        <v>1</v>
      </c>
      <c r="E3" s="1">
        <v>2330</v>
      </c>
      <c r="F3" s="1">
        <v>68.275862068965523</v>
      </c>
    </row>
    <row r="4" spans="1:6" x14ac:dyDescent="0.2">
      <c r="A4" s="1">
        <v>1</v>
      </c>
      <c r="B4" s="1" t="s">
        <v>14</v>
      </c>
      <c r="C4" s="1" t="s">
        <v>62</v>
      </c>
      <c r="D4" s="1">
        <v>1</v>
      </c>
      <c r="E4" s="1">
        <v>2332</v>
      </c>
      <c r="F4" s="1">
        <v>56.19047619047619</v>
      </c>
    </row>
    <row r="5" spans="1:6" x14ac:dyDescent="0.2">
      <c r="A5" s="1">
        <v>1</v>
      </c>
      <c r="B5" s="1" t="s">
        <v>14</v>
      </c>
      <c r="C5" s="1" t="s">
        <v>62</v>
      </c>
      <c r="D5" s="1">
        <v>1</v>
      </c>
      <c r="E5" s="1">
        <v>2337</v>
      </c>
      <c r="F5" s="1">
        <v>62.222222222222221</v>
      </c>
    </row>
    <row r="6" spans="1:6" x14ac:dyDescent="0.2">
      <c r="A6" s="1">
        <v>1</v>
      </c>
      <c r="B6" s="1" t="s">
        <v>14</v>
      </c>
      <c r="C6" s="1" t="s">
        <v>62</v>
      </c>
      <c r="D6" s="1">
        <v>1</v>
      </c>
      <c r="E6" s="1">
        <v>2338</v>
      </c>
      <c r="F6" s="1">
        <v>66.315789473684205</v>
      </c>
    </row>
    <row r="7" spans="1:6" x14ac:dyDescent="0.2">
      <c r="A7" s="1">
        <v>1</v>
      </c>
      <c r="B7" s="1" t="s">
        <v>14</v>
      </c>
      <c r="C7" s="1" t="s">
        <v>62</v>
      </c>
      <c r="D7" s="1">
        <v>2</v>
      </c>
      <c r="E7" s="1">
        <v>2348</v>
      </c>
      <c r="F7" s="1">
        <v>78.775510204081627</v>
      </c>
    </row>
    <row r="8" spans="1:6" x14ac:dyDescent="0.2">
      <c r="A8" s="1">
        <v>1</v>
      </c>
      <c r="B8" s="1" t="s">
        <v>14</v>
      </c>
      <c r="C8" s="1" t="s">
        <v>62</v>
      </c>
      <c r="D8" s="1">
        <v>2</v>
      </c>
      <c r="E8" s="1">
        <v>2349</v>
      </c>
      <c r="F8" s="1">
        <v>79.47019867549669</v>
      </c>
    </row>
    <row r="9" spans="1:6" x14ac:dyDescent="0.2">
      <c r="A9" s="1">
        <v>1</v>
      </c>
      <c r="B9" s="1" t="s">
        <v>61</v>
      </c>
      <c r="C9" s="1" t="s">
        <v>62</v>
      </c>
      <c r="D9" s="1">
        <v>3</v>
      </c>
      <c r="E9" s="1">
        <v>2334</v>
      </c>
      <c r="F9" s="1">
        <v>51.470588235294116</v>
      </c>
    </row>
    <row r="10" spans="1:6" x14ac:dyDescent="0.2">
      <c r="A10" s="1">
        <v>1</v>
      </c>
      <c r="B10" s="1" t="s">
        <v>61</v>
      </c>
      <c r="C10" s="1" t="s">
        <v>62</v>
      </c>
      <c r="D10" s="1">
        <v>3</v>
      </c>
      <c r="E10" s="1">
        <v>2335</v>
      </c>
      <c r="F10" s="1">
        <v>49.253731343283583</v>
      </c>
    </row>
    <row r="11" spans="1:6" x14ac:dyDescent="0.2">
      <c r="A11" s="1">
        <v>1</v>
      </c>
      <c r="B11" s="1" t="s">
        <v>61</v>
      </c>
      <c r="C11" s="1" t="s">
        <v>62</v>
      </c>
      <c r="D11" s="1">
        <v>3</v>
      </c>
      <c r="E11" s="1">
        <v>2336</v>
      </c>
      <c r="F11" s="1">
        <v>44.230769230769226</v>
      </c>
    </row>
    <row r="12" spans="1:6" x14ac:dyDescent="0.2">
      <c r="A12" s="1">
        <v>1</v>
      </c>
      <c r="B12" s="1" t="s">
        <v>61</v>
      </c>
      <c r="C12" s="1" t="s">
        <v>62</v>
      </c>
      <c r="D12" s="1">
        <v>3</v>
      </c>
      <c r="E12" s="1">
        <v>2333</v>
      </c>
      <c r="F12" s="1">
        <v>61.403508771929829</v>
      </c>
    </row>
    <row r="13" spans="1:6" x14ac:dyDescent="0.2">
      <c r="A13" s="1">
        <v>1</v>
      </c>
      <c r="B13" s="1" t="s">
        <v>61</v>
      </c>
      <c r="C13" s="1" t="s">
        <v>62</v>
      </c>
      <c r="D13" s="1">
        <v>4</v>
      </c>
      <c r="E13" s="1">
        <v>2350</v>
      </c>
      <c r="F13" s="1">
        <v>60.344827586206897</v>
      </c>
    </row>
    <row r="14" spans="1:6" x14ac:dyDescent="0.2">
      <c r="A14" s="1">
        <v>1</v>
      </c>
      <c r="B14" s="1" t="s">
        <v>61</v>
      </c>
      <c r="C14" s="1" t="s">
        <v>62</v>
      </c>
      <c r="D14" s="1">
        <v>4</v>
      </c>
      <c r="E14" s="1">
        <v>2351</v>
      </c>
      <c r="F14" s="1">
        <v>45.454545454545453</v>
      </c>
    </row>
    <row r="15" spans="1:6" x14ac:dyDescent="0.2">
      <c r="A15" s="1">
        <v>1</v>
      </c>
      <c r="B15" s="1" t="s">
        <v>61</v>
      </c>
      <c r="C15" s="1" t="s">
        <v>60</v>
      </c>
      <c r="D15" s="1">
        <v>5</v>
      </c>
      <c r="E15" s="1">
        <v>2327</v>
      </c>
      <c r="F15" s="1">
        <v>63.358778625954194</v>
      </c>
    </row>
    <row r="16" spans="1:6" x14ac:dyDescent="0.2">
      <c r="A16" s="1">
        <v>1</v>
      </c>
      <c r="B16" s="1" t="s">
        <v>61</v>
      </c>
      <c r="C16" s="1" t="s">
        <v>60</v>
      </c>
      <c r="D16" s="1">
        <v>5</v>
      </c>
      <c r="E16" s="1">
        <v>2329</v>
      </c>
      <c r="F16" s="1">
        <v>54.255319148936167</v>
      </c>
    </row>
    <row r="17" spans="1:6" x14ac:dyDescent="0.2">
      <c r="A17" s="1">
        <v>1</v>
      </c>
      <c r="B17" s="1" t="s">
        <v>61</v>
      </c>
      <c r="C17" s="1" t="s">
        <v>60</v>
      </c>
      <c r="D17" s="1">
        <v>5</v>
      </c>
      <c r="E17" s="1">
        <v>2331</v>
      </c>
      <c r="F17" s="1">
        <v>52.631578947368418</v>
      </c>
    </row>
    <row r="18" spans="1:6" x14ac:dyDescent="0.2">
      <c r="A18" s="1">
        <v>1</v>
      </c>
      <c r="B18" s="1" t="s">
        <v>61</v>
      </c>
      <c r="C18" s="1" t="s">
        <v>60</v>
      </c>
      <c r="D18" s="1">
        <v>6</v>
      </c>
      <c r="E18" s="1">
        <v>2339</v>
      </c>
      <c r="F18" s="1">
        <v>43.75</v>
      </c>
    </row>
    <row r="19" spans="1:6" x14ac:dyDescent="0.2">
      <c r="A19" s="1">
        <v>1</v>
      </c>
      <c r="B19" s="1" t="s">
        <v>61</v>
      </c>
      <c r="C19" s="1" t="s">
        <v>60</v>
      </c>
      <c r="D19" s="1">
        <v>6</v>
      </c>
      <c r="E19" s="1">
        <v>2341</v>
      </c>
      <c r="F19" s="1">
        <v>55.932203389830505</v>
      </c>
    </row>
    <row r="20" spans="1:6" x14ac:dyDescent="0.2">
      <c r="A20" s="1">
        <v>1</v>
      </c>
      <c r="B20" s="1" t="s">
        <v>61</v>
      </c>
      <c r="C20" s="1" t="s">
        <v>60</v>
      </c>
      <c r="D20" s="1">
        <v>7</v>
      </c>
      <c r="E20" s="1">
        <v>2345</v>
      </c>
      <c r="F20" s="1">
        <v>61.666666666666671</v>
      </c>
    </row>
    <row r="21" spans="1:6" x14ac:dyDescent="0.2">
      <c r="A21" s="1">
        <v>1</v>
      </c>
      <c r="B21" s="1" t="s">
        <v>61</v>
      </c>
      <c r="C21" s="1" t="s">
        <v>60</v>
      </c>
      <c r="D21" s="1">
        <v>7</v>
      </c>
      <c r="E21" s="1">
        <v>2346</v>
      </c>
      <c r="F21" s="1">
        <v>63.235294117647058</v>
      </c>
    </row>
    <row r="22" spans="1:6" x14ac:dyDescent="0.2">
      <c r="A22" s="1">
        <v>1</v>
      </c>
      <c r="B22" s="1" t="s">
        <v>61</v>
      </c>
      <c r="C22" s="1" t="s">
        <v>60</v>
      </c>
      <c r="D22" s="1">
        <v>7</v>
      </c>
      <c r="E22" s="1">
        <v>2347</v>
      </c>
      <c r="F22" s="1">
        <v>29.411764705882355</v>
      </c>
    </row>
    <row r="23" spans="1:6" x14ac:dyDescent="0.2">
      <c r="A23" s="1">
        <v>2</v>
      </c>
      <c r="B23" s="1" t="s">
        <v>14</v>
      </c>
      <c r="C23" s="1" t="s">
        <v>62</v>
      </c>
      <c r="D23" s="1">
        <v>8</v>
      </c>
      <c r="E23" s="1">
        <v>2352</v>
      </c>
      <c r="F23" s="1">
        <v>71.559633027522935</v>
      </c>
    </row>
    <row r="24" spans="1:6" x14ac:dyDescent="0.2">
      <c r="A24" s="1">
        <v>2</v>
      </c>
      <c r="B24" s="1" t="s">
        <v>14</v>
      </c>
      <c r="C24" s="1" t="s">
        <v>62</v>
      </c>
      <c r="D24" s="1">
        <v>8</v>
      </c>
      <c r="E24" s="1">
        <v>2353</v>
      </c>
      <c r="F24" s="1">
        <v>67.768595041322314</v>
      </c>
    </row>
    <row r="25" spans="1:6" x14ac:dyDescent="0.2">
      <c r="A25" s="1">
        <v>2</v>
      </c>
      <c r="B25" s="1" t="s">
        <v>14</v>
      </c>
      <c r="C25" s="1" t="s">
        <v>62</v>
      </c>
      <c r="D25" s="1">
        <v>9</v>
      </c>
      <c r="E25" s="1">
        <v>2359</v>
      </c>
      <c r="F25" s="1">
        <v>46.478873239436616</v>
      </c>
    </row>
    <row r="26" spans="1:6" x14ac:dyDescent="0.2">
      <c r="A26" s="1">
        <v>2</v>
      </c>
      <c r="B26" s="1" t="s">
        <v>14</v>
      </c>
      <c r="C26" s="1" t="s">
        <v>62</v>
      </c>
      <c r="D26" s="1">
        <v>9</v>
      </c>
      <c r="E26" s="1">
        <v>2360</v>
      </c>
      <c r="F26" s="1">
        <v>56.521739130434781</v>
      </c>
    </row>
    <row r="27" spans="1:6" x14ac:dyDescent="0.2">
      <c r="A27" s="1">
        <v>2</v>
      </c>
      <c r="B27" s="1" t="s">
        <v>14</v>
      </c>
      <c r="C27" s="1" t="s">
        <v>62</v>
      </c>
      <c r="D27" s="1">
        <v>10</v>
      </c>
      <c r="E27" s="1">
        <v>2371</v>
      </c>
      <c r="F27" s="1">
        <v>55.24475524475524</v>
      </c>
    </row>
    <row r="28" spans="1:6" x14ac:dyDescent="0.2">
      <c r="A28" s="1">
        <v>2</v>
      </c>
      <c r="B28" s="1" t="s">
        <v>14</v>
      </c>
      <c r="C28" s="1" t="s">
        <v>62</v>
      </c>
      <c r="D28" s="1">
        <v>10</v>
      </c>
      <c r="E28" s="1">
        <v>2372</v>
      </c>
      <c r="F28" s="1">
        <v>70.422535211267601</v>
      </c>
    </row>
    <row r="29" spans="1:6" x14ac:dyDescent="0.2">
      <c r="A29" s="1">
        <v>2</v>
      </c>
      <c r="B29" s="1" t="s">
        <v>14</v>
      </c>
      <c r="C29" s="1" t="s">
        <v>62</v>
      </c>
      <c r="D29" s="1">
        <v>10</v>
      </c>
      <c r="E29" s="1">
        <v>2375</v>
      </c>
      <c r="F29" s="1"/>
    </row>
    <row r="30" spans="1:6" x14ac:dyDescent="0.2">
      <c r="A30" s="1">
        <v>2</v>
      </c>
      <c r="B30" s="1" t="s">
        <v>14</v>
      </c>
      <c r="C30" s="1" t="s">
        <v>62</v>
      </c>
      <c r="D30" s="1">
        <v>10</v>
      </c>
      <c r="E30" s="1">
        <v>2376</v>
      </c>
      <c r="F30" s="1">
        <v>45.161290322580641</v>
      </c>
    </row>
    <row r="31" spans="1:6" x14ac:dyDescent="0.2">
      <c r="A31" s="1">
        <v>2</v>
      </c>
      <c r="B31" s="1" t="s">
        <v>61</v>
      </c>
      <c r="C31" s="1" t="s">
        <v>62</v>
      </c>
      <c r="D31" s="1">
        <v>11</v>
      </c>
      <c r="E31" s="1">
        <v>2354</v>
      </c>
      <c r="F31" s="1">
        <v>46.478873239436616</v>
      </c>
    </row>
    <row r="32" spans="1:6" x14ac:dyDescent="0.2">
      <c r="A32" s="1">
        <v>2</v>
      </c>
      <c r="B32" s="1" t="s">
        <v>61</v>
      </c>
      <c r="C32" s="1" t="s">
        <v>62</v>
      </c>
      <c r="D32" s="1">
        <v>11</v>
      </c>
      <c r="E32" s="1">
        <v>2355</v>
      </c>
      <c r="F32" s="1">
        <v>49.122807017543856</v>
      </c>
    </row>
    <row r="33" spans="1:6" x14ac:dyDescent="0.2">
      <c r="A33" s="1">
        <v>2</v>
      </c>
      <c r="B33" s="1" t="s">
        <v>61</v>
      </c>
      <c r="C33" s="1" t="s">
        <v>62</v>
      </c>
      <c r="D33" s="1">
        <v>12</v>
      </c>
      <c r="E33" s="1">
        <v>2374</v>
      </c>
      <c r="F33" s="1">
        <v>47.058823529411761</v>
      </c>
    </row>
    <row r="34" spans="1:6" x14ac:dyDescent="0.2">
      <c r="A34" s="1">
        <v>2</v>
      </c>
      <c r="B34" s="1" t="s">
        <v>61</v>
      </c>
      <c r="C34" s="1" t="s">
        <v>62</v>
      </c>
      <c r="D34" s="1">
        <v>12</v>
      </c>
      <c r="E34" s="1">
        <v>2377</v>
      </c>
      <c r="F34" s="1">
        <v>33.333333333333329</v>
      </c>
    </row>
    <row r="35" spans="1:6" x14ac:dyDescent="0.2">
      <c r="A35" s="1">
        <v>2</v>
      </c>
      <c r="B35" s="1" t="s">
        <v>61</v>
      </c>
      <c r="C35" s="1" t="s">
        <v>62</v>
      </c>
      <c r="D35" s="1">
        <v>12</v>
      </c>
      <c r="E35" s="1">
        <v>2370</v>
      </c>
      <c r="F35" s="1">
        <v>46.875</v>
      </c>
    </row>
    <row r="36" spans="1:6" x14ac:dyDescent="0.2">
      <c r="A36" s="1">
        <v>2</v>
      </c>
      <c r="B36" s="1" t="s">
        <v>61</v>
      </c>
      <c r="C36" s="1" t="s">
        <v>60</v>
      </c>
      <c r="D36" s="1">
        <v>13</v>
      </c>
      <c r="E36" s="1">
        <v>2356</v>
      </c>
      <c r="F36" s="1">
        <v>46.25</v>
      </c>
    </row>
    <row r="37" spans="1:6" x14ac:dyDescent="0.2">
      <c r="A37" s="1">
        <v>2</v>
      </c>
      <c r="B37" s="1" t="s">
        <v>61</v>
      </c>
      <c r="C37" s="1" t="s">
        <v>60</v>
      </c>
      <c r="D37" s="1">
        <v>13</v>
      </c>
      <c r="E37" s="1">
        <v>2357</v>
      </c>
      <c r="F37" s="1">
        <v>40.909090909090914</v>
      </c>
    </row>
    <row r="38" spans="1:6" x14ac:dyDescent="0.2">
      <c r="A38" s="1">
        <v>2</v>
      </c>
      <c r="B38" s="1" t="s">
        <v>61</v>
      </c>
      <c r="C38" s="1" t="s">
        <v>60</v>
      </c>
      <c r="D38" s="1">
        <v>14</v>
      </c>
      <c r="E38" s="1">
        <v>2358</v>
      </c>
      <c r="F38" s="1">
        <v>76.271186440677965</v>
      </c>
    </row>
    <row r="39" spans="1:6" x14ac:dyDescent="0.2">
      <c r="A39" s="1">
        <v>2</v>
      </c>
      <c r="B39" s="1" t="s">
        <v>61</v>
      </c>
      <c r="C39" s="1" t="s">
        <v>60</v>
      </c>
      <c r="D39" s="1">
        <v>14</v>
      </c>
      <c r="E39" s="1">
        <v>2361</v>
      </c>
      <c r="F39" s="1">
        <v>39.473684210526315</v>
      </c>
    </row>
    <row r="40" spans="1:6" x14ac:dyDescent="0.2">
      <c r="A40" s="1">
        <v>2</v>
      </c>
      <c r="B40" s="1" t="s">
        <v>61</v>
      </c>
      <c r="C40" s="1" t="s">
        <v>60</v>
      </c>
      <c r="D40" s="1">
        <v>15</v>
      </c>
      <c r="E40" s="1">
        <v>2368</v>
      </c>
      <c r="F40" s="1"/>
    </row>
    <row r="41" spans="1:6" x14ac:dyDescent="0.2">
      <c r="A41" s="1">
        <v>2</v>
      </c>
      <c r="B41" s="1" t="s">
        <v>61</v>
      </c>
      <c r="C41" s="1" t="s">
        <v>60</v>
      </c>
      <c r="D41" s="1">
        <v>15</v>
      </c>
      <c r="E41" s="1">
        <v>2362</v>
      </c>
      <c r="F41" s="1">
        <v>53.424657534246577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DF4D-0700-3B40-A9B8-A074C4883169}">
  <dimension ref="A1:F41"/>
  <sheetViews>
    <sheetView workbookViewId="0">
      <selection activeCell="M34" sqref="M34"/>
    </sheetView>
  </sheetViews>
  <sheetFormatPr baseColWidth="10" defaultRowHeight="16" x14ac:dyDescent="0.2"/>
  <sheetData>
    <row r="1" spans="1:6" x14ac:dyDescent="0.2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">
      <c r="A2" s="1">
        <v>1</v>
      </c>
      <c r="B2" s="1" t="s">
        <v>14</v>
      </c>
      <c r="C2" s="1" t="s">
        <v>62</v>
      </c>
      <c r="D2" s="1">
        <v>1</v>
      </c>
      <c r="E2" s="1">
        <v>2328</v>
      </c>
      <c r="F2" s="1">
        <v>300.99999999999994</v>
      </c>
    </row>
    <row r="3" spans="1:6" x14ac:dyDescent="0.2">
      <c r="A3" s="1">
        <v>1</v>
      </c>
      <c r="B3" s="1" t="s">
        <v>14</v>
      </c>
      <c r="C3" s="1" t="s">
        <v>62</v>
      </c>
      <c r="D3" s="1">
        <v>1</v>
      </c>
      <c r="E3" s="1">
        <v>2330</v>
      </c>
      <c r="F3" s="1">
        <v>210.99999999999997</v>
      </c>
    </row>
    <row r="4" spans="1:6" x14ac:dyDescent="0.2">
      <c r="A4" s="1">
        <v>1</v>
      </c>
      <c r="B4" s="1" t="s">
        <v>14</v>
      </c>
      <c r="C4" s="1" t="s">
        <v>62</v>
      </c>
      <c r="D4" s="1">
        <v>1</v>
      </c>
      <c r="E4" s="1">
        <v>2332</v>
      </c>
      <c r="F4" s="1">
        <v>270.99999999999994</v>
      </c>
    </row>
    <row r="5" spans="1:6" x14ac:dyDescent="0.2">
      <c r="A5" s="1">
        <v>1</v>
      </c>
      <c r="B5" s="1" t="s">
        <v>14</v>
      </c>
      <c r="C5" s="1" t="s">
        <v>62</v>
      </c>
      <c r="D5" s="1">
        <v>1</v>
      </c>
      <c r="E5" s="1">
        <v>2337</v>
      </c>
      <c r="F5" s="1">
        <v>300.99999999999994</v>
      </c>
    </row>
    <row r="6" spans="1:6" x14ac:dyDescent="0.2">
      <c r="A6" s="1">
        <v>1</v>
      </c>
      <c r="B6" s="1" t="s">
        <v>14</v>
      </c>
      <c r="C6" s="1" t="s">
        <v>62</v>
      </c>
      <c r="D6" s="1">
        <v>1</v>
      </c>
      <c r="E6" s="1">
        <v>2338</v>
      </c>
      <c r="F6" s="1">
        <v>180.99999999999991</v>
      </c>
    </row>
    <row r="7" spans="1:6" x14ac:dyDescent="0.2">
      <c r="A7" s="1">
        <v>1</v>
      </c>
      <c r="B7" s="1" t="s">
        <v>14</v>
      </c>
      <c r="C7" s="1" t="s">
        <v>62</v>
      </c>
      <c r="D7" s="1">
        <v>2</v>
      </c>
      <c r="E7" s="1">
        <v>2348</v>
      </c>
      <c r="F7" s="1">
        <v>180.99999999999991</v>
      </c>
    </row>
    <row r="8" spans="1:6" x14ac:dyDescent="0.2">
      <c r="A8" s="1">
        <v>1</v>
      </c>
      <c r="B8" s="1" t="s">
        <v>14</v>
      </c>
      <c r="C8" s="1" t="s">
        <v>62</v>
      </c>
      <c r="D8" s="1">
        <v>2</v>
      </c>
      <c r="E8" s="1">
        <v>2349</v>
      </c>
      <c r="F8" s="1">
        <v>180.99999999999991</v>
      </c>
    </row>
    <row r="9" spans="1:6" x14ac:dyDescent="0.2">
      <c r="A9" s="1">
        <v>1</v>
      </c>
      <c r="B9" s="1" t="s">
        <v>61</v>
      </c>
      <c r="C9" s="1" t="s">
        <v>62</v>
      </c>
      <c r="D9" s="1">
        <v>3</v>
      </c>
      <c r="E9" s="1">
        <v>2334</v>
      </c>
      <c r="F9" s="1">
        <v>433.00000000000006</v>
      </c>
    </row>
    <row r="10" spans="1:6" x14ac:dyDescent="0.2">
      <c r="A10" s="1">
        <v>1</v>
      </c>
      <c r="B10" s="1" t="s">
        <v>61</v>
      </c>
      <c r="C10" s="1" t="s">
        <v>62</v>
      </c>
      <c r="D10" s="1">
        <v>3</v>
      </c>
      <c r="E10" s="1">
        <v>2335</v>
      </c>
      <c r="F10" s="1">
        <v>480</v>
      </c>
    </row>
    <row r="11" spans="1:6" x14ac:dyDescent="0.2">
      <c r="A11" s="1">
        <v>1</v>
      </c>
      <c r="B11" s="1" t="s">
        <v>61</v>
      </c>
      <c r="C11" s="1" t="s">
        <v>62</v>
      </c>
      <c r="D11" s="1">
        <v>3</v>
      </c>
      <c r="E11" s="1">
        <v>2336</v>
      </c>
      <c r="F11" s="1">
        <v>253.00000000000006</v>
      </c>
    </row>
    <row r="12" spans="1:6" x14ac:dyDescent="0.2">
      <c r="A12" s="1">
        <v>1</v>
      </c>
      <c r="B12" s="1" t="s">
        <v>61</v>
      </c>
      <c r="C12" s="1" t="s">
        <v>62</v>
      </c>
      <c r="D12" s="1">
        <v>3</v>
      </c>
      <c r="E12" s="1">
        <v>2333</v>
      </c>
      <c r="F12" s="1">
        <v>480</v>
      </c>
    </row>
    <row r="13" spans="1:6" x14ac:dyDescent="0.2">
      <c r="A13" s="1">
        <v>1</v>
      </c>
      <c r="B13" s="1" t="s">
        <v>61</v>
      </c>
      <c r="C13" s="1" t="s">
        <v>62</v>
      </c>
      <c r="D13" s="1">
        <v>4</v>
      </c>
      <c r="E13" s="1">
        <v>2350</v>
      </c>
      <c r="F13" s="1">
        <v>253.00000000000006</v>
      </c>
    </row>
    <row r="14" spans="1:6" x14ac:dyDescent="0.2">
      <c r="A14" s="1">
        <v>1</v>
      </c>
      <c r="B14" s="1" t="s">
        <v>61</v>
      </c>
      <c r="C14" s="1" t="s">
        <v>62</v>
      </c>
      <c r="D14" s="1">
        <v>4</v>
      </c>
      <c r="E14" s="1">
        <v>2351</v>
      </c>
      <c r="F14" s="1">
        <v>480</v>
      </c>
    </row>
    <row r="15" spans="1:6" x14ac:dyDescent="0.2">
      <c r="A15" s="1">
        <v>1</v>
      </c>
      <c r="B15" s="1" t="s">
        <v>61</v>
      </c>
      <c r="C15" s="1" t="s">
        <v>60</v>
      </c>
      <c r="D15" s="1">
        <v>5</v>
      </c>
      <c r="E15" s="1">
        <v>2327</v>
      </c>
      <c r="F15" s="1">
        <v>246.00000000000009</v>
      </c>
    </row>
    <row r="16" spans="1:6" x14ac:dyDescent="0.2">
      <c r="A16" s="1">
        <v>1</v>
      </c>
      <c r="B16" s="1" t="s">
        <v>61</v>
      </c>
      <c r="C16" s="1" t="s">
        <v>60</v>
      </c>
      <c r="D16" s="1">
        <v>5</v>
      </c>
      <c r="E16" s="1">
        <v>2329</v>
      </c>
      <c r="F16" s="1">
        <v>426.00000000000011</v>
      </c>
    </row>
    <row r="17" spans="1:6" x14ac:dyDescent="0.2">
      <c r="A17" s="1">
        <v>1</v>
      </c>
      <c r="B17" s="1" t="s">
        <v>61</v>
      </c>
      <c r="C17" s="1" t="s">
        <v>60</v>
      </c>
      <c r="D17" s="1">
        <v>5</v>
      </c>
      <c r="E17" s="1">
        <v>2331</v>
      </c>
      <c r="F17" s="1">
        <v>336.00000000000011</v>
      </c>
    </row>
    <row r="18" spans="1:6" x14ac:dyDescent="0.2">
      <c r="A18" s="1">
        <v>1</v>
      </c>
      <c r="B18" s="1" t="s">
        <v>61</v>
      </c>
      <c r="C18" s="1" t="s">
        <v>60</v>
      </c>
      <c r="D18" s="1">
        <v>6</v>
      </c>
      <c r="E18" s="1">
        <v>2339</v>
      </c>
      <c r="F18" s="1">
        <v>306.00000000000006</v>
      </c>
    </row>
    <row r="19" spans="1:6" x14ac:dyDescent="0.2">
      <c r="A19" s="1">
        <v>1</v>
      </c>
      <c r="B19" s="1" t="s">
        <v>61</v>
      </c>
      <c r="C19" s="1" t="s">
        <v>60</v>
      </c>
      <c r="D19" s="1">
        <v>6</v>
      </c>
      <c r="E19" s="1">
        <v>2341</v>
      </c>
      <c r="F19" s="1">
        <v>216.00000000000003</v>
      </c>
    </row>
    <row r="20" spans="1:6" x14ac:dyDescent="0.2">
      <c r="A20" s="1">
        <v>1</v>
      </c>
      <c r="B20" s="1" t="s">
        <v>61</v>
      </c>
      <c r="C20" s="1" t="s">
        <v>60</v>
      </c>
      <c r="D20" s="1">
        <v>7</v>
      </c>
      <c r="E20" s="1">
        <v>2345</v>
      </c>
      <c r="F20" s="1">
        <v>480</v>
      </c>
    </row>
    <row r="21" spans="1:6" x14ac:dyDescent="0.2">
      <c r="A21" s="1">
        <v>1</v>
      </c>
      <c r="B21" s="1" t="s">
        <v>61</v>
      </c>
      <c r="C21" s="1" t="s">
        <v>60</v>
      </c>
      <c r="D21" s="1">
        <v>7</v>
      </c>
      <c r="E21" s="1">
        <v>2346</v>
      </c>
      <c r="F21" s="1">
        <v>216.00000000000003</v>
      </c>
    </row>
    <row r="22" spans="1:6" x14ac:dyDescent="0.2">
      <c r="A22" s="1">
        <v>1</v>
      </c>
      <c r="B22" s="1" t="s">
        <v>61</v>
      </c>
      <c r="C22" s="1" t="s">
        <v>60</v>
      </c>
      <c r="D22" s="1">
        <v>7</v>
      </c>
      <c r="E22" s="1">
        <v>2347</v>
      </c>
      <c r="F22" s="1">
        <v>306.00000000000006</v>
      </c>
    </row>
    <row r="23" spans="1:6" x14ac:dyDescent="0.2">
      <c r="A23" s="1">
        <v>2</v>
      </c>
      <c r="B23" s="1" t="s">
        <v>14</v>
      </c>
      <c r="C23" s="1" t="s">
        <v>62</v>
      </c>
      <c r="D23" s="1">
        <v>8</v>
      </c>
      <c r="E23" s="1">
        <v>2352</v>
      </c>
      <c r="F23" s="1">
        <v>214.00000000000003</v>
      </c>
    </row>
    <row r="24" spans="1:6" x14ac:dyDescent="0.2">
      <c r="A24" s="1">
        <v>2</v>
      </c>
      <c r="B24" s="1" t="s">
        <v>14</v>
      </c>
      <c r="C24" s="1" t="s">
        <v>62</v>
      </c>
      <c r="D24" s="1">
        <v>8</v>
      </c>
      <c r="E24" s="1">
        <v>2353</v>
      </c>
      <c r="F24" s="1">
        <v>198.99999999999994</v>
      </c>
    </row>
    <row r="25" spans="1:6" x14ac:dyDescent="0.2">
      <c r="A25" s="1">
        <v>2</v>
      </c>
      <c r="B25" s="1" t="s">
        <v>14</v>
      </c>
      <c r="C25" s="1" t="s">
        <v>62</v>
      </c>
      <c r="D25" s="1">
        <v>9</v>
      </c>
      <c r="E25" s="1">
        <v>2359</v>
      </c>
      <c r="F25" s="1">
        <v>333.99999999999994</v>
      </c>
    </row>
    <row r="26" spans="1:6" x14ac:dyDescent="0.2">
      <c r="A26" s="1">
        <v>2</v>
      </c>
      <c r="B26" s="1" t="s">
        <v>14</v>
      </c>
      <c r="C26" s="1" t="s">
        <v>62</v>
      </c>
      <c r="D26" s="1">
        <v>9</v>
      </c>
      <c r="E26" s="1">
        <v>2360</v>
      </c>
      <c r="F26" s="1">
        <v>214.00000000000003</v>
      </c>
    </row>
    <row r="27" spans="1:6" x14ac:dyDescent="0.2">
      <c r="A27" s="1">
        <v>2</v>
      </c>
      <c r="B27" s="1" t="s">
        <v>14</v>
      </c>
      <c r="C27" s="1" t="s">
        <v>62</v>
      </c>
      <c r="D27" s="1">
        <v>10</v>
      </c>
      <c r="E27" s="1">
        <v>2371</v>
      </c>
      <c r="F27" s="1">
        <v>214.00000000000003</v>
      </c>
    </row>
    <row r="28" spans="1:6" x14ac:dyDescent="0.2">
      <c r="A28" s="1">
        <v>2</v>
      </c>
      <c r="B28" s="1" t="s">
        <v>14</v>
      </c>
      <c r="C28" s="1" t="s">
        <v>62</v>
      </c>
      <c r="D28" s="1">
        <v>10</v>
      </c>
      <c r="E28" s="1">
        <v>2372</v>
      </c>
      <c r="F28" s="1">
        <v>333.99999999999994</v>
      </c>
    </row>
    <row r="29" spans="1:6" x14ac:dyDescent="0.2">
      <c r="A29" s="1">
        <v>2</v>
      </c>
      <c r="B29" s="1" t="s">
        <v>14</v>
      </c>
      <c r="C29" s="1" t="s">
        <v>62</v>
      </c>
      <c r="D29" s="1">
        <v>10</v>
      </c>
      <c r="E29" s="1">
        <v>2375</v>
      </c>
      <c r="F29" s="1">
        <v>184</v>
      </c>
    </row>
    <row r="30" spans="1:6" x14ac:dyDescent="0.2">
      <c r="A30" s="1">
        <v>2</v>
      </c>
      <c r="B30" s="1" t="s">
        <v>14</v>
      </c>
      <c r="C30" s="1" t="s">
        <v>62</v>
      </c>
      <c r="D30" s="1">
        <v>10</v>
      </c>
      <c r="E30" s="1">
        <v>2376</v>
      </c>
      <c r="F30" s="1">
        <v>304.00000000000006</v>
      </c>
    </row>
    <row r="31" spans="1:6" x14ac:dyDescent="0.2">
      <c r="A31" s="1">
        <v>2</v>
      </c>
      <c r="B31" s="1" t="s">
        <v>61</v>
      </c>
      <c r="C31" s="1" t="s">
        <v>62</v>
      </c>
      <c r="D31" s="1">
        <v>11</v>
      </c>
      <c r="E31" s="1">
        <v>2354</v>
      </c>
      <c r="F31" s="1">
        <v>223.00000000000009</v>
      </c>
    </row>
    <row r="32" spans="1:6" x14ac:dyDescent="0.2">
      <c r="A32" s="1">
        <v>2</v>
      </c>
      <c r="B32" s="1" t="s">
        <v>61</v>
      </c>
      <c r="C32" s="1" t="s">
        <v>62</v>
      </c>
      <c r="D32" s="1">
        <v>11</v>
      </c>
      <c r="E32" s="1">
        <v>2355</v>
      </c>
      <c r="F32" s="1">
        <v>283.00000000000006</v>
      </c>
    </row>
    <row r="33" spans="1:6" x14ac:dyDescent="0.2">
      <c r="A33" s="1">
        <v>2</v>
      </c>
      <c r="B33" s="1" t="s">
        <v>61</v>
      </c>
      <c r="C33" s="1" t="s">
        <v>62</v>
      </c>
      <c r="D33" s="1">
        <v>12</v>
      </c>
      <c r="E33" s="1">
        <v>2374</v>
      </c>
      <c r="F33" s="1">
        <v>0</v>
      </c>
    </row>
    <row r="34" spans="1:6" x14ac:dyDescent="0.2">
      <c r="A34" s="1">
        <v>2</v>
      </c>
      <c r="B34" s="1" t="s">
        <v>61</v>
      </c>
      <c r="C34" s="1" t="s">
        <v>62</v>
      </c>
      <c r="D34" s="1">
        <v>12</v>
      </c>
      <c r="E34" s="1">
        <v>2377</v>
      </c>
      <c r="F34" s="1">
        <v>0</v>
      </c>
    </row>
    <row r="35" spans="1:6" x14ac:dyDescent="0.2">
      <c r="A35" s="1">
        <v>2</v>
      </c>
      <c r="B35" s="1" t="s">
        <v>61</v>
      </c>
      <c r="C35" s="1" t="s">
        <v>62</v>
      </c>
      <c r="D35" s="1">
        <v>12</v>
      </c>
      <c r="E35" s="1">
        <v>2370</v>
      </c>
      <c r="F35" s="1">
        <v>313.00000000000011</v>
      </c>
    </row>
    <row r="36" spans="1:6" x14ac:dyDescent="0.2">
      <c r="A36" s="1">
        <v>2</v>
      </c>
      <c r="B36" s="1" t="s">
        <v>61</v>
      </c>
      <c r="C36" s="1" t="s">
        <v>60</v>
      </c>
      <c r="D36" s="1">
        <v>13</v>
      </c>
      <c r="E36" s="1">
        <v>2356</v>
      </c>
      <c r="F36" s="1">
        <v>428.99999999999989</v>
      </c>
    </row>
    <row r="37" spans="1:6" x14ac:dyDescent="0.2">
      <c r="A37" s="1">
        <v>2</v>
      </c>
      <c r="B37" s="1" t="s">
        <v>61</v>
      </c>
      <c r="C37" s="1" t="s">
        <v>60</v>
      </c>
      <c r="D37" s="1">
        <v>13</v>
      </c>
      <c r="E37" s="1">
        <v>2357</v>
      </c>
      <c r="F37" s="1">
        <v>338.99999999999989</v>
      </c>
    </row>
    <row r="38" spans="1:6" x14ac:dyDescent="0.2">
      <c r="A38" s="1">
        <v>2</v>
      </c>
      <c r="B38" s="1" t="s">
        <v>61</v>
      </c>
      <c r="C38" s="1" t="s">
        <v>60</v>
      </c>
      <c r="D38" s="1">
        <v>14</v>
      </c>
      <c r="E38" s="1">
        <v>2358</v>
      </c>
      <c r="F38" s="1">
        <v>203.99999999999991</v>
      </c>
    </row>
    <row r="39" spans="1:6" x14ac:dyDescent="0.2">
      <c r="A39" s="1">
        <v>2</v>
      </c>
      <c r="B39" s="1" t="s">
        <v>61</v>
      </c>
      <c r="C39" s="1" t="s">
        <v>60</v>
      </c>
      <c r="D39" s="1">
        <v>14</v>
      </c>
      <c r="E39" s="1">
        <v>2361</v>
      </c>
      <c r="F39" s="1">
        <v>278.99999999999994</v>
      </c>
    </row>
    <row r="40" spans="1:6" x14ac:dyDescent="0.2">
      <c r="A40" s="1">
        <v>2</v>
      </c>
      <c r="B40" s="1" t="s">
        <v>61</v>
      </c>
      <c r="C40" s="1" t="s">
        <v>60</v>
      </c>
      <c r="D40" s="1">
        <v>15</v>
      </c>
      <c r="E40" s="1">
        <v>2368</v>
      </c>
      <c r="F40" s="1"/>
    </row>
    <row r="41" spans="1:6" x14ac:dyDescent="0.2">
      <c r="A41" s="1">
        <v>2</v>
      </c>
      <c r="B41" s="1" t="s">
        <v>61</v>
      </c>
      <c r="C41" s="1" t="s">
        <v>60</v>
      </c>
      <c r="D41" s="1">
        <v>15</v>
      </c>
      <c r="E41" s="1">
        <v>2362</v>
      </c>
      <c r="F41" s="1">
        <v>203.99999999999991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863F-C9A1-6949-88A7-BBCFD1E74697}">
  <dimension ref="A1:F41"/>
  <sheetViews>
    <sheetView workbookViewId="0">
      <selection activeCell="H22" sqref="H22"/>
    </sheetView>
  </sheetViews>
  <sheetFormatPr baseColWidth="10" defaultRowHeight="16" x14ac:dyDescent="0.2"/>
  <sheetData>
    <row r="1" spans="1:6" x14ac:dyDescent="0.2">
      <c r="A1" s="1" t="s">
        <v>54</v>
      </c>
      <c r="B1" s="1" t="s">
        <v>2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">
      <c r="A2" s="1">
        <v>1</v>
      </c>
      <c r="B2" s="1" t="s">
        <v>14</v>
      </c>
      <c r="C2" s="1" t="s">
        <v>62</v>
      </c>
      <c r="D2" s="1">
        <v>1</v>
      </c>
      <c r="E2" s="1">
        <v>2328</v>
      </c>
      <c r="F2" s="1">
        <v>9.9999999999999645</v>
      </c>
    </row>
    <row r="3" spans="1:6" x14ac:dyDescent="0.2">
      <c r="A3" s="1">
        <v>1</v>
      </c>
      <c r="B3" s="1" t="s">
        <v>14</v>
      </c>
      <c r="C3" s="1" t="s">
        <v>62</v>
      </c>
      <c r="D3" s="1">
        <v>1</v>
      </c>
      <c r="E3" s="1">
        <v>2330</v>
      </c>
      <c r="F3" s="1">
        <v>0</v>
      </c>
    </row>
    <row r="4" spans="1:6" x14ac:dyDescent="0.2">
      <c r="A4" s="1">
        <v>1</v>
      </c>
      <c r="B4" s="1" t="s">
        <v>14</v>
      </c>
      <c r="C4" s="1" t="s">
        <v>62</v>
      </c>
      <c r="D4" s="1">
        <v>1</v>
      </c>
      <c r="E4" s="1">
        <v>2332</v>
      </c>
      <c r="F4" s="1">
        <v>0.99999999999999645</v>
      </c>
    </row>
    <row r="5" spans="1:6" x14ac:dyDescent="0.2">
      <c r="A5" s="1">
        <v>1</v>
      </c>
      <c r="B5" s="1" t="s">
        <v>14</v>
      </c>
      <c r="C5" s="1" t="s">
        <v>62</v>
      </c>
      <c r="D5" s="1">
        <v>1</v>
      </c>
      <c r="E5" s="1">
        <v>2337</v>
      </c>
      <c r="F5" s="1">
        <v>6.0000000000000586</v>
      </c>
    </row>
    <row r="6" spans="1:6" x14ac:dyDescent="0.2">
      <c r="A6" s="1">
        <v>1</v>
      </c>
      <c r="B6" s="1" t="s">
        <v>14</v>
      </c>
      <c r="C6" s="1" t="s">
        <v>62</v>
      </c>
      <c r="D6" s="1">
        <v>1</v>
      </c>
      <c r="E6" s="1">
        <v>2338</v>
      </c>
      <c r="F6" s="1">
        <v>1.9999999999999929</v>
      </c>
    </row>
    <row r="7" spans="1:6" x14ac:dyDescent="0.2">
      <c r="A7" s="1">
        <v>1</v>
      </c>
      <c r="B7" s="1" t="s">
        <v>14</v>
      </c>
      <c r="C7" s="1" t="s">
        <v>62</v>
      </c>
      <c r="D7" s="1">
        <v>2</v>
      </c>
      <c r="E7" s="1">
        <v>2348</v>
      </c>
      <c r="F7" s="1">
        <v>10.000000000000044</v>
      </c>
    </row>
    <row r="8" spans="1:6" x14ac:dyDescent="0.2">
      <c r="A8" s="1">
        <v>1</v>
      </c>
      <c r="B8" s="1" t="s">
        <v>14</v>
      </c>
      <c r="C8" s="1" t="s">
        <v>62</v>
      </c>
      <c r="D8" s="1">
        <v>2</v>
      </c>
      <c r="E8" s="1">
        <v>2349</v>
      </c>
      <c r="F8" s="1">
        <v>16.000000000000021</v>
      </c>
    </row>
    <row r="9" spans="1:6" x14ac:dyDescent="0.2">
      <c r="A9" s="1">
        <v>1</v>
      </c>
      <c r="B9" s="1" t="s">
        <v>61</v>
      </c>
      <c r="C9" s="1" t="s">
        <v>62</v>
      </c>
      <c r="D9" s="1">
        <v>3</v>
      </c>
      <c r="E9" s="1">
        <v>2334</v>
      </c>
      <c r="F9" s="1">
        <v>34.000000000000043</v>
      </c>
    </row>
    <row r="10" spans="1:6" x14ac:dyDescent="0.2">
      <c r="A10" s="1">
        <v>1</v>
      </c>
      <c r="B10" s="1" t="s">
        <v>61</v>
      </c>
      <c r="C10" s="1" t="s">
        <v>62</v>
      </c>
      <c r="D10" s="1">
        <v>3</v>
      </c>
      <c r="E10" s="1">
        <v>2335</v>
      </c>
      <c r="F10" s="1">
        <v>43.000000000000007</v>
      </c>
    </row>
    <row r="11" spans="1:6" x14ac:dyDescent="0.2">
      <c r="A11" s="1">
        <v>1</v>
      </c>
      <c r="B11" s="1" t="s">
        <v>61</v>
      </c>
      <c r="C11" s="1" t="s">
        <v>62</v>
      </c>
      <c r="D11" s="1">
        <v>3</v>
      </c>
      <c r="E11" s="1">
        <v>2336</v>
      </c>
      <c r="F11" s="1">
        <v>19.000000000000014</v>
      </c>
    </row>
    <row r="12" spans="1:6" x14ac:dyDescent="0.2">
      <c r="A12" s="1">
        <v>1</v>
      </c>
      <c r="B12" s="1" t="s">
        <v>61</v>
      </c>
      <c r="C12" s="1" t="s">
        <v>62</v>
      </c>
      <c r="D12" s="1">
        <v>3</v>
      </c>
      <c r="E12" s="1">
        <v>2333</v>
      </c>
      <c r="F12" s="1"/>
    </row>
    <row r="13" spans="1:6" x14ac:dyDescent="0.2">
      <c r="A13" s="1">
        <v>1</v>
      </c>
      <c r="B13" s="1" t="s">
        <v>61</v>
      </c>
      <c r="C13" s="1" t="s">
        <v>62</v>
      </c>
      <c r="D13" s="1">
        <v>4</v>
      </c>
      <c r="E13" s="1">
        <v>2350</v>
      </c>
      <c r="F13" s="1">
        <v>25.999999999999986</v>
      </c>
    </row>
    <row r="14" spans="1:6" x14ac:dyDescent="0.2">
      <c r="A14" s="1">
        <v>1</v>
      </c>
      <c r="B14" s="1" t="s">
        <v>61</v>
      </c>
      <c r="C14" s="1" t="s">
        <v>62</v>
      </c>
      <c r="D14" s="1">
        <v>4</v>
      </c>
      <c r="E14" s="1">
        <v>2351</v>
      </c>
      <c r="F14" s="1">
        <v>28.999999999999979</v>
      </c>
    </row>
    <row r="15" spans="1:6" x14ac:dyDescent="0.2">
      <c r="A15" s="1">
        <v>1</v>
      </c>
      <c r="B15" s="1" t="s">
        <v>61</v>
      </c>
      <c r="C15" s="1" t="s">
        <v>60</v>
      </c>
      <c r="D15" s="1">
        <v>5</v>
      </c>
      <c r="E15" s="1">
        <v>2327</v>
      </c>
      <c r="F15" s="1">
        <v>21.000000000000007</v>
      </c>
    </row>
    <row r="16" spans="1:6" x14ac:dyDescent="0.2">
      <c r="A16" s="1">
        <v>1</v>
      </c>
      <c r="B16" s="1" t="s">
        <v>61</v>
      </c>
      <c r="C16" s="1" t="s">
        <v>60</v>
      </c>
      <c r="D16" s="1">
        <v>5</v>
      </c>
      <c r="E16" s="1">
        <v>2329</v>
      </c>
      <c r="F16" s="1">
        <v>38.000000000000028</v>
      </c>
    </row>
    <row r="17" spans="1:6" x14ac:dyDescent="0.2">
      <c r="A17" s="1">
        <v>1</v>
      </c>
      <c r="B17" s="1" t="s">
        <v>61</v>
      </c>
      <c r="C17" s="1" t="s">
        <v>60</v>
      </c>
      <c r="D17" s="1">
        <v>5</v>
      </c>
      <c r="E17" s="1">
        <v>2331</v>
      </c>
      <c r="F17" s="1">
        <v>0</v>
      </c>
    </row>
    <row r="18" spans="1:6" x14ac:dyDescent="0.2">
      <c r="A18" s="1">
        <v>1</v>
      </c>
      <c r="B18" s="1" t="s">
        <v>61</v>
      </c>
      <c r="C18" s="1" t="s">
        <v>60</v>
      </c>
      <c r="D18" s="1">
        <v>6</v>
      </c>
      <c r="E18" s="1">
        <v>2339</v>
      </c>
      <c r="F18" s="1">
        <v>24.999999999999993</v>
      </c>
    </row>
    <row r="19" spans="1:6" x14ac:dyDescent="0.2">
      <c r="A19" s="1">
        <v>1</v>
      </c>
      <c r="B19" s="1" t="s">
        <v>61</v>
      </c>
      <c r="C19" s="1" t="s">
        <v>60</v>
      </c>
      <c r="D19" s="1">
        <v>6</v>
      </c>
      <c r="E19" s="1">
        <v>2341</v>
      </c>
      <c r="F19" s="1">
        <v>31.999999999999964</v>
      </c>
    </row>
    <row r="20" spans="1:6" x14ac:dyDescent="0.2">
      <c r="A20" s="1">
        <v>1</v>
      </c>
      <c r="B20" s="1" t="s">
        <v>61</v>
      </c>
      <c r="C20" s="1" t="s">
        <v>60</v>
      </c>
      <c r="D20" s="1">
        <v>7</v>
      </c>
      <c r="E20" s="1">
        <v>2345</v>
      </c>
      <c r="F20" s="1">
        <v>8.0000000000000515</v>
      </c>
    </row>
    <row r="21" spans="1:6" x14ac:dyDescent="0.2">
      <c r="A21" s="1">
        <v>1</v>
      </c>
      <c r="B21" s="1" t="s">
        <v>61</v>
      </c>
      <c r="C21" s="1" t="s">
        <v>60</v>
      </c>
      <c r="D21" s="1">
        <v>7</v>
      </c>
      <c r="E21" s="1">
        <v>2346</v>
      </c>
      <c r="F21" s="1">
        <v>12.000000000000037</v>
      </c>
    </row>
    <row r="22" spans="1:6" x14ac:dyDescent="0.2">
      <c r="A22" s="1">
        <v>1</v>
      </c>
      <c r="B22" s="1" t="s">
        <v>61</v>
      </c>
      <c r="C22" s="1" t="s">
        <v>60</v>
      </c>
      <c r="D22" s="1">
        <v>7</v>
      </c>
      <c r="E22" s="1">
        <v>2347</v>
      </c>
      <c r="F22" s="1">
        <v>29.000000000000057</v>
      </c>
    </row>
    <row r="23" spans="1:6" x14ac:dyDescent="0.2">
      <c r="A23" s="1">
        <v>2</v>
      </c>
      <c r="B23" s="1" t="s">
        <v>14</v>
      </c>
      <c r="C23" s="1" t="s">
        <v>62</v>
      </c>
      <c r="D23" s="1">
        <v>8</v>
      </c>
      <c r="E23" s="1">
        <v>2352</v>
      </c>
      <c r="F23" s="15">
        <v>7.7777777777777501</v>
      </c>
    </row>
    <row r="24" spans="1:6" x14ac:dyDescent="0.2">
      <c r="A24" s="1">
        <v>2</v>
      </c>
      <c r="B24" s="1" t="s">
        <v>14</v>
      </c>
      <c r="C24" s="1" t="s">
        <v>62</v>
      </c>
      <c r="D24" s="1">
        <v>8</v>
      </c>
      <c r="E24" s="1">
        <v>2353</v>
      </c>
      <c r="F24" s="15">
        <v>4.8611111111110938</v>
      </c>
    </row>
    <row r="25" spans="1:6" x14ac:dyDescent="0.2">
      <c r="A25" s="1">
        <v>2</v>
      </c>
      <c r="B25" s="1" t="s">
        <v>14</v>
      </c>
      <c r="C25" s="1" t="s">
        <v>62</v>
      </c>
      <c r="D25" s="1">
        <v>9</v>
      </c>
      <c r="E25" s="1">
        <v>2359</v>
      </c>
      <c r="F25" s="15">
        <v>4.8611111111110938</v>
      </c>
    </row>
    <row r="26" spans="1:6" x14ac:dyDescent="0.2">
      <c r="A26" s="1">
        <v>2</v>
      </c>
      <c r="B26" s="1" t="s">
        <v>14</v>
      </c>
      <c r="C26" s="1" t="s">
        <v>62</v>
      </c>
      <c r="D26" s="1">
        <v>9</v>
      </c>
      <c r="E26" s="1">
        <v>2360</v>
      </c>
      <c r="F26" s="15">
        <v>0</v>
      </c>
    </row>
    <row r="27" spans="1:6" x14ac:dyDescent="0.2">
      <c r="A27" s="1">
        <v>2</v>
      </c>
      <c r="B27" s="1" t="s">
        <v>14</v>
      </c>
      <c r="C27" s="1" t="s">
        <v>62</v>
      </c>
      <c r="D27" s="1">
        <v>10</v>
      </c>
      <c r="E27" s="1">
        <v>2371</v>
      </c>
      <c r="F27" s="15">
        <v>8.749999999999968</v>
      </c>
    </row>
    <row r="28" spans="1:6" x14ac:dyDescent="0.2">
      <c r="A28" s="1">
        <v>2</v>
      </c>
      <c r="B28" s="1" t="s">
        <v>14</v>
      </c>
      <c r="C28" s="1" t="s">
        <v>62</v>
      </c>
      <c r="D28" s="1">
        <v>10</v>
      </c>
      <c r="E28" s="1">
        <v>2372</v>
      </c>
      <c r="F28" s="15">
        <v>3.8888888888888751</v>
      </c>
    </row>
    <row r="29" spans="1:6" x14ac:dyDescent="0.2">
      <c r="A29" s="1">
        <v>2</v>
      </c>
      <c r="B29" s="1" t="s">
        <v>14</v>
      </c>
      <c r="C29" s="1" t="s">
        <v>62</v>
      </c>
      <c r="D29" s="1">
        <v>10</v>
      </c>
      <c r="E29" s="1">
        <v>2375</v>
      </c>
      <c r="F29" s="15">
        <v>18.472222222222236</v>
      </c>
    </row>
    <row r="30" spans="1:6" x14ac:dyDescent="0.2">
      <c r="A30" s="1">
        <v>2</v>
      </c>
      <c r="B30" s="1" t="s">
        <v>14</v>
      </c>
      <c r="C30" s="1" t="s">
        <v>62</v>
      </c>
      <c r="D30" s="1">
        <v>10</v>
      </c>
      <c r="E30" s="1">
        <v>2376</v>
      </c>
      <c r="F30" s="15">
        <v>0</v>
      </c>
    </row>
    <row r="31" spans="1:6" x14ac:dyDescent="0.2">
      <c r="A31" s="1">
        <v>2</v>
      </c>
      <c r="B31" s="1" t="s">
        <v>61</v>
      </c>
      <c r="C31" s="1" t="s">
        <v>62</v>
      </c>
      <c r="D31" s="1">
        <v>11</v>
      </c>
      <c r="E31" s="1">
        <v>2354</v>
      </c>
      <c r="F31" s="15"/>
    </row>
    <row r="32" spans="1:6" x14ac:dyDescent="0.2">
      <c r="A32" s="1">
        <v>2</v>
      </c>
      <c r="B32" s="1" t="s">
        <v>61</v>
      </c>
      <c r="C32" s="1" t="s">
        <v>62</v>
      </c>
      <c r="D32" s="1">
        <v>11</v>
      </c>
      <c r="E32" s="1">
        <v>2355</v>
      </c>
      <c r="F32" s="15">
        <v>20.416666666666671</v>
      </c>
    </row>
    <row r="33" spans="1:6" x14ac:dyDescent="0.2">
      <c r="A33" s="1">
        <v>2</v>
      </c>
      <c r="B33" s="1" t="s">
        <v>61</v>
      </c>
      <c r="C33" s="1" t="s">
        <v>62</v>
      </c>
      <c r="D33" s="1">
        <v>12</v>
      </c>
      <c r="E33" s="1">
        <v>2374</v>
      </c>
      <c r="F33" s="15"/>
    </row>
    <row r="34" spans="1:6" x14ac:dyDescent="0.2">
      <c r="A34" s="1">
        <v>2</v>
      </c>
      <c r="B34" s="1" t="s">
        <v>61</v>
      </c>
      <c r="C34" s="1" t="s">
        <v>62</v>
      </c>
      <c r="D34" s="1">
        <v>12</v>
      </c>
      <c r="E34" s="1">
        <v>2377</v>
      </c>
      <c r="F34" s="15">
        <v>26.249999999999986</v>
      </c>
    </row>
    <row r="35" spans="1:6" x14ac:dyDescent="0.2">
      <c r="A35" s="1">
        <v>2</v>
      </c>
      <c r="B35" s="1" t="s">
        <v>61</v>
      </c>
      <c r="C35" s="1" t="s">
        <v>62</v>
      </c>
      <c r="D35" s="1">
        <v>12</v>
      </c>
      <c r="E35" s="1">
        <v>2370</v>
      </c>
      <c r="F35" s="15">
        <v>23.333333333333407</v>
      </c>
    </row>
    <row r="36" spans="1:6" x14ac:dyDescent="0.2">
      <c r="A36" s="1">
        <v>2</v>
      </c>
      <c r="B36" s="1" t="s">
        <v>61</v>
      </c>
      <c r="C36" s="1" t="s">
        <v>60</v>
      </c>
      <c r="D36" s="1">
        <v>13</v>
      </c>
      <c r="E36" s="1">
        <v>2356</v>
      </c>
      <c r="F36" s="15">
        <v>34.99999999999995</v>
      </c>
    </row>
    <row r="37" spans="1:6" x14ac:dyDescent="0.2">
      <c r="A37" s="1">
        <v>2</v>
      </c>
      <c r="B37" s="1" t="s">
        <v>61</v>
      </c>
      <c r="C37" s="1" t="s">
        <v>60</v>
      </c>
      <c r="D37" s="1">
        <v>13</v>
      </c>
      <c r="E37" s="1">
        <v>2357</v>
      </c>
      <c r="F37" s="15">
        <v>0.97222222222221877</v>
      </c>
    </row>
    <row r="38" spans="1:6" x14ac:dyDescent="0.2">
      <c r="A38" s="1">
        <v>2</v>
      </c>
      <c r="B38" s="1" t="s">
        <v>61</v>
      </c>
      <c r="C38" s="1" t="s">
        <v>60</v>
      </c>
      <c r="D38" s="1">
        <v>14</v>
      </c>
      <c r="E38" s="1">
        <v>2358</v>
      </c>
      <c r="F38" s="15">
        <v>16.527777777777796</v>
      </c>
    </row>
    <row r="39" spans="1:6" x14ac:dyDescent="0.2">
      <c r="A39" s="1">
        <v>2</v>
      </c>
      <c r="B39" s="1" t="s">
        <v>61</v>
      </c>
      <c r="C39" s="1" t="s">
        <v>60</v>
      </c>
      <c r="D39" s="1">
        <v>14</v>
      </c>
      <c r="E39" s="1">
        <v>2361</v>
      </c>
      <c r="F39" s="15">
        <v>0</v>
      </c>
    </row>
    <row r="40" spans="1:6" x14ac:dyDescent="0.2">
      <c r="A40" s="1">
        <v>2</v>
      </c>
      <c r="B40" s="1" t="s">
        <v>61</v>
      </c>
      <c r="C40" s="1" t="s">
        <v>60</v>
      </c>
      <c r="D40" s="1">
        <v>15</v>
      </c>
      <c r="E40" s="1">
        <v>2368</v>
      </c>
      <c r="F40" s="34"/>
    </row>
    <row r="41" spans="1:6" x14ac:dyDescent="0.2">
      <c r="A41" s="1">
        <v>2</v>
      </c>
      <c r="B41" s="1" t="s">
        <v>61</v>
      </c>
      <c r="C41" s="1" t="s">
        <v>60</v>
      </c>
      <c r="D41" s="1">
        <v>15</v>
      </c>
      <c r="E41" s="1">
        <v>2362</v>
      </c>
      <c r="F41" s="15">
        <v>8.7500000000000462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Cohort 1</vt:lpstr>
      <vt:lpstr>Cohort 2</vt:lpstr>
      <vt:lpstr>Beam</vt:lpstr>
      <vt:lpstr>Beam_steps</vt:lpstr>
      <vt:lpstr>Pole</vt:lpstr>
      <vt:lpstr>Wirehang</vt:lpstr>
      <vt:lpstr>Sticker</vt:lpstr>
      <vt:lpstr>Hindlimb</vt:lpstr>
      <vt:lpstr>Fecal_output</vt:lpstr>
      <vt:lpstr>Fecal_score</vt:lpstr>
      <vt:lpstr>Water_content</vt:lpstr>
      <vt:lpstr>Carmine_red</vt:lpstr>
      <vt:lpstr>Bead_exp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Moiseyenko, Anastasiya (Ana)</dc:creator>
  <cp:lastModifiedBy>Moiseyenko, Anastasiya (Ana)</cp:lastModifiedBy>
  <dcterms:created xsi:type="dcterms:W3CDTF">2024-05-08T22:23:12Z</dcterms:created>
  <dcterms:modified xsi:type="dcterms:W3CDTF">2025-06-07T05:55:48Z</dcterms:modified>
</cp:coreProperties>
</file>