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PD communities/benCom - Short/"/>
    </mc:Choice>
  </mc:AlternateContent>
  <xr:revisionPtr revIDLastSave="1367" documentId="8_{39D4D147-4429-574F-BC45-06994F36C64B}" xr6:coauthVersionLast="47" xr6:coauthVersionMax="47" xr10:uidLastSave="{D00650FB-BB82-FD49-8601-FF3D0AF8459D}"/>
  <bookViews>
    <workbookView xWindow="200" yWindow="500" windowWidth="23960" windowHeight="17500" firstSheet="3" activeTab="12" xr2:uid="{12F844C0-1965-3644-8791-3B6E59A50BDF}"/>
  </bookViews>
  <sheets>
    <sheet name="Cohort 1" sheetId="1" r:id="rId1"/>
    <sheet name="Cohort 2" sheetId="2" r:id="rId2"/>
    <sheet name="Beam" sheetId="3" r:id="rId3"/>
    <sheet name="Beam_steps" sheetId="4" r:id="rId4"/>
    <sheet name="Pole" sheetId="5" r:id="rId5"/>
    <sheet name="Wirehang" sheetId="6" r:id="rId6"/>
    <sheet name="Sticker" sheetId="7" r:id="rId7"/>
    <sheet name="Hindlimb" sheetId="8" r:id="rId8"/>
    <sheet name="Fecal_output" sheetId="9" r:id="rId9"/>
    <sheet name="Fecal_score" sheetId="10" r:id="rId10"/>
    <sheet name="Water_content" sheetId="11" r:id="rId11"/>
    <sheet name="Carmine_red" sheetId="12" r:id="rId12"/>
    <sheet name="Bead_exp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6" i="2" l="1"/>
  <c r="U56" i="2" s="1"/>
  <c r="Q56" i="2"/>
  <c r="L56" i="2"/>
  <c r="K56" i="2"/>
  <c r="T55" i="2"/>
  <c r="U55" i="2" s="1"/>
  <c r="P55" i="2"/>
  <c r="Q55" i="2" s="1"/>
  <c r="L55" i="2"/>
  <c r="K55" i="2"/>
  <c r="T54" i="2"/>
  <c r="U54" i="2" s="1"/>
  <c r="P54" i="2"/>
  <c r="Q54" i="2" s="1"/>
  <c r="L54" i="2"/>
  <c r="K54" i="2"/>
  <c r="M54" i="2" s="1"/>
  <c r="T53" i="2"/>
  <c r="U53" i="2" s="1"/>
  <c r="P53" i="2"/>
  <c r="Q53" i="2" s="1"/>
  <c r="L53" i="2"/>
  <c r="K53" i="2"/>
  <c r="M53" i="2" s="1"/>
  <c r="T52" i="2"/>
  <c r="U52" i="2" s="1"/>
  <c r="P52" i="2"/>
  <c r="Q52" i="2" s="1"/>
  <c r="L52" i="2"/>
  <c r="K52" i="2"/>
  <c r="T51" i="2"/>
  <c r="U51" i="2" s="1"/>
  <c r="P51" i="2"/>
  <c r="Q51" i="2" s="1"/>
  <c r="L51" i="2"/>
  <c r="K51" i="2"/>
  <c r="T50" i="2"/>
  <c r="U50" i="2" s="1"/>
  <c r="P50" i="2"/>
  <c r="Q50" i="2" s="1"/>
  <c r="L50" i="2"/>
  <c r="K50" i="2"/>
  <c r="M50" i="2" s="1"/>
  <c r="T49" i="2"/>
  <c r="U49" i="2" s="1"/>
  <c r="P49" i="2"/>
  <c r="Q49" i="2" s="1"/>
  <c r="L49" i="2"/>
  <c r="K49" i="2"/>
  <c r="T48" i="2"/>
  <c r="U48" i="2" s="1"/>
  <c r="P48" i="2"/>
  <c r="Q48" i="2" s="1"/>
  <c r="L48" i="2"/>
  <c r="K48" i="2"/>
  <c r="T47" i="2"/>
  <c r="U47" i="2" s="1"/>
  <c r="P47" i="2"/>
  <c r="Q47" i="2" s="1"/>
  <c r="L47" i="2"/>
  <c r="K47" i="2"/>
  <c r="M47" i="2" s="1"/>
  <c r="T46" i="2"/>
  <c r="U46" i="2" s="1"/>
  <c r="P46" i="2"/>
  <c r="Q46" i="2" s="1"/>
  <c r="L46" i="2"/>
  <c r="K46" i="2"/>
  <c r="U45" i="2"/>
  <c r="P45" i="2"/>
  <c r="Q45" i="2" s="1"/>
  <c r="L45" i="2"/>
  <c r="K45" i="2"/>
  <c r="T44" i="2"/>
  <c r="U44" i="2" s="1"/>
  <c r="P44" i="2"/>
  <c r="Q44" i="2" s="1"/>
  <c r="L44" i="2"/>
  <c r="K44" i="2"/>
  <c r="I36" i="2"/>
  <c r="F36" i="2"/>
  <c r="I35" i="2"/>
  <c r="F35" i="2"/>
  <c r="I34" i="2"/>
  <c r="F34" i="2"/>
  <c r="I33" i="2"/>
  <c r="F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N18" i="2"/>
  <c r="H18" i="2"/>
  <c r="E18" i="2"/>
  <c r="N17" i="2"/>
  <c r="H17" i="2"/>
  <c r="E17" i="2"/>
  <c r="N16" i="2"/>
  <c r="H16" i="2"/>
  <c r="E16" i="2"/>
  <c r="N15" i="2"/>
  <c r="H15" i="2"/>
  <c r="E15" i="2"/>
  <c r="N14" i="2"/>
  <c r="H14" i="2"/>
  <c r="E14" i="2"/>
  <c r="N13" i="2"/>
  <c r="H13" i="2"/>
  <c r="E13" i="2"/>
  <c r="N12" i="2"/>
  <c r="H12" i="2"/>
  <c r="E12" i="2"/>
  <c r="N11" i="2"/>
  <c r="H11" i="2"/>
  <c r="E11" i="2"/>
  <c r="N10" i="2"/>
  <c r="H10" i="2"/>
  <c r="E10" i="2"/>
  <c r="N9" i="2"/>
  <c r="H9" i="2"/>
  <c r="E9" i="2"/>
  <c r="N8" i="2"/>
  <c r="H8" i="2"/>
  <c r="E8" i="2"/>
  <c r="N7" i="2"/>
  <c r="H7" i="2"/>
  <c r="E7" i="2"/>
  <c r="N6" i="2"/>
  <c r="H6" i="2"/>
  <c r="E6" i="2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6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38" i="1"/>
  <c r="J35" i="2" l="1"/>
  <c r="J25" i="2"/>
  <c r="J27" i="2"/>
  <c r="M55" i="2"/>
  <c r="M49" i="2"/>
  <c r="M44" i="2"/>
  <c r="M46" i="2"/>
  <c r="M45" i="2"/>
  <c r="M48" i="2"/>
  <c r="M56" i="2"/>
  <c r="M51" i="2"/>
  <c r="M52" i="2"/>
  <c r="J31" i="2"/>
  <c r="J24" i="2"/>
  <c r="J28" i="2"/>
  <c r="J32" i="2"/>
  <c r="J36" i="2"/>
  <c r="J29" i="2"/>
  <c r="J33" i="2"/>
  <c r="J26" i="2"/>
  <c r="J30" i="2"/>
  <c r="J34" i="2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6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90" i="1"/>
  <c r="M91" i="1"/>
  <c r="M92" i="1"/>
  <c r="M93" i="1"/>
  <c r="M69" i="1"/>
  <c r="L70" i="1" l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90" i="1"/>
  <c r="L91" i="1"/>
  <c r="L92" i="1"/>
  <c r="L93" i="1"/>
  <c r="L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90" i="1"/>
  <c r="K91" i="1"/>
  <c r="K92" i="1"/>
  <c r="K93" i="1"/>
  <c r="K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90" i="1"/>
  <c r="U91" i="1"/>
  <c r="U92" i="1"/>
  <c r="U93" i="1"/>
  <c r="U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90" i="1"/>
  <c r="T91" i="1"/>
  <c r="T92" i="1"/>
  <c r="T93" i="1"/>
  <c r="T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90" i="1"/>
  <c r="Q91" i="1"/>
  <c r="Q92" i="1"/>
  <c r="Q93" i="1"/>
  <c r="Q69" i="1"/>
  <c r="P70" i="1"/>
  <c r="P71" i="1"/>
  <c r="P72" i="1"/>
  <c r="P73" i="1"/>
  <c r="P74" i="1"/>
  <c r="P75" i="1"/>
  <c r="P76" i="1"/>
  <c r="P77" i="1"/>
  <c r="P78" i="1"/>
  <c r="P79" i="1"/>
  <c r="P80" i="1"/>
  <c r="P82" i="1"/>
  <c r="P83" i="1"/>
  <c r="P84" i="1"/>
  <c r="P85" i="1"/>
  <c r="P86" i="1"/>
  <c r="P88" i="1"/>
  <c r="P90" i="1"/>
  <c r="P91" i="1"/>
  <c r="P92" i="1"/>
  <c r="P93" i="1"/>
  <c r="P69" i="1"/>
</calcChain>
</file>

<file path=xl/sharedStrings.xml><?xml version="1.0" encoding="utf-8"?>
<sst xmlns="http://schemas.openxmlformats.org/spreadsheetml/2006/main" count="1036" uniqueCount="65">
  <si>
    <t>20 wk</t>
  </si>
  <si>
    <t>Animal #</t>
  </si>
  <si>
    <t>Genotype</t>
  </si>
  <si>
    <t>Beam</t>
  </si>
  <si>
    <t xml:space="preserve">Pole </t>
  </si>
  <si>
    <t>Wire Hang</t>
  </si>
  <si>
    <t xml:space="preserve">Sticker </t>
  </si>
  <si>
    <t>Hindlimb</t>
  </si>
  <si>
    <t>Weight (g)</t>
  </si>
  <si>
    <t>Trial 1</t>
  </si>
  <si>
    <t>Avg</t>
  </si>
  <si>
    <t>Total 1</t>
  </si>
  <si>
    <t>Total 2</t>
  </si>
  <si>
    <t>Avg Total</t>
  </si>
  <si>
    <t>WT</t>
  </si>
  <si>
    <t>ASO-CNTRL</t>
  </si>
  <si>
    <t>Steps</t>
  </si>
  <si>
    <t>Slips</t>
  </si>
  <si>
    <t>Errors/Step</t>
  </si>
  <si>
    <t>GI tests</t>
  </si>
  <si>
    <t>morning</t>
  </si>
  <si>
    <t>21 wk</t>
  </si>
  <si>
    <t>8 hr max</t>
  </si>
  <si>
    <t>1 hr max</t>
  </si>
  <si>
    <t>Carmine red</t>
  </si>
  <si>
    <t>Bead expulsion</t>
  </si>
  <si>
    <t>Testing 4/9/24</t>
  </si>
  <si>
    <t>15 min</t>
  </si>
  <si>
    <t>30 min</t>
  </si>
  <si>
    <t>45 min</t>
  </si>
  <si>
    <t>60 min</t>
  </si>
  <si>
    <t>fecal score</t>
  </si>
  <si>
    <t>tube weight (mg)</t>
  </si>
  <si>
    <t xml:space="preserve">tube + wet </t>
  </si>
  <si>
    <t>tube + dry</t>
  </si>
  <si>
    <t>wet pellet</t>
  </si>
  <si>
    <t>dry pellet</t>
  </si>
  <si>
    <t>% water</t>
  </si>
  <si>
    <t>start time</t>
  </si>
  <si>
    <t>end time</t>
  </si>
  <si>
    <t>time</t>
  </si>
  <si>
    <t>transit time (min)</t>
  </si>
  <si>
    <t>time to expulse (min)</t>
  </si>
  <si>
    <t>benCom gavage starting at 12wks</t>
  </si>
  <si>
    <t>ASO-benCom</t>
  </si>
  <si>
    <t xml:space="preserve">FD </t>
  </si>
  <si>
    <t>max</t>
  </si>
  <si>
    <t>Testing 6/3/24</t>
  </si>
  <si>
    <t>Cohort</t>
  </si>
  <si>
    <t>Microbiome</t>
  </si>
  <si>
    <t>Cage</t>
  </si>
  <si>
    <t>ID</t>
  </si>
  <si>
    <t>Trial1</t>
  </si>
  <si>
    <t>Trial2</t>
  </si>
  <si>
    <t>SPF</t>
  </si>
  <si>
    <t>bC</t>
  </si>
  <si>
    <t>Steps_Trial1</t>
  </si>
  <si>
    <t>Steps_Trial2</t>
  </si>
  <si>
    <t>Slips_Trial1</t>
  </si>
  <si>
    <t>Slips_Trial2</t>
  </si>
  <si>
    <t>ASO</t>
  </si>
  <si>
    <t>Trial15</t>
  </si>
  <si>
    <t>Trial30</t>
  </si>
  <si>
    <t>Trial45</t>
  </si>
  <si>
    <t>Trial60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</si>
</sst>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164" fontId="1" fillId="0" borderId="0" xfId="0" applyNumberFormat="1" applyFont="1"/>
    <xf numFmtId="20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Alignment="1">
      <alignment wrapText="1"/>
    </xf>
    <xf numFmtId="0" fontId="3" fillId="0" borderId="0" xfId="0" applyFont="1"/>
    <xf numFmtId="20" fontId="3" fillId="0" borderId="0" xfId="0" applyNumberFormat="1" applyFont="1"/>
    <xf numFmtId="14" fontId="1" fillId="2" borderId="0" xfId="0" applyNumberFormat="1" applyFont="1" applyFill="1"/>
    <xf numFmtId="0" fontId="1" fillId="12" borderId="0" xfId="0" applyFont="1" applyFill="1"/>
    <xf numFmtId="0" fontId="1" fillId="13" borderId="0" xfId="0" applyFont="1" applyFill="1"/>
    <xf numFmtId="0" fontId="0" fillId="13" borderId="0" xfId="0" applyFill="1"/>
    <xf numFmtId="0" fontId="1" fillId="14" borderId="0" xfId="0" applyFont="1" applyFill="1"/>
    <xf numFmtId="0" fontId="0" fillId="14" borderId="0" xfId="0" applyFill="1"/>
    <xf numFmtId="20" fontId="0" fillId="0" borderId="0" xfId="0" applyNumberForma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C8D8-4BC1-2C49-A4E1-F05A9FA272DD}">
  <dimension ref="A1:U93"/>
  <sheetViews>
    <sheetView topLeftCell="H57" workbookViewId="0">
      <selection activeCell="Q81" sqref="Q81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3" t="s">
        <v>1</v>
      </c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3" t="s">
        <v>5</v>
      </c>
      <c r="J4" s="1"/>
      <c r="K4" s="1"/>
      <c r="L4" s="3" t="s">
        <v>6</v>
      </c>
      <c r="M4" s="1"/>
      <c r="N4" s="1"/>
      <c r="O4" s="3" t="s">
        <v>7</v>
      </c>
      <c r="P4" s="3" t="s">
        <v>8</v>
      </c>
      <c r="Q4" s="1"/>
      <c r="R4" s="1"/>
      <c r="S4" s="1"/>
      <c r="T4" s="1"/>
      <c r="U4" s="1"/>
    </row>
    <row r="5" spans="1:21" x14ac:dyDescent="0.2">
      <c r="A5" s="19">
        <v>45412</v>
      </c>
      <c r="B5" s="4"/>
      <c r="C5" s="4" t="s">
        <v>9</v>
      </c>
      <c r="D5" s="4">
        <v>2</v>
      </c>
      <c r="E5" s="5" t="s">
        <v>10</v>
      </c>
      <c r="F5" s="4" t="s">
        <v>11</v>
      </c>
      <c r="G5" s="4" t="s">
        <v>12</v>
      </c>
      <c r="H5" s="5" t="s">
        <v>13</v>
      </c>
      <c r="I5" s="4">
        <v>1</v>
      </c>
      <c r="J5" s="4">
        <v>2</v>
      </c>
      <c r="K5" s="5" t="s">
        <v>10</v>
      </c>
      <c r="L5" s="4">
        <v>1</v>
      </c>
      <c r="M5" s="4">
        <v>2</v>
      </c>
      <c r="N5" s="5" t="s">
        <v>10</v>
      </c>
      <c r="O5" s="4"/>
      <c r="P5" s="4"/>
      <c r="Q5" s="1"/>
      <c r="R5" s="1"/>
      <c r="S5" s="1"/>
      <c r="T5" s="1"/>
      <c r="U5" s="1"/>
    </row>
    <row r="6" spans="1:21" x14ac:dyDescent="0.2">
      <c r="A6" s="10">
        <v>2090</v>
      </c>
      <c r="B6" s="6" t="s">
        <v>14</v>
      </c>
      <c r="C6" s="1">
        <v>5.38</v>
      </c>
      <c r="D6" s="1">
        <v>3.18</v>
      </c>
      <c r="E6">
        <f>AVERAGE(C6:D6)</f>
        <v>4.28</v>
      </c>
      <c r="F6" s="1">
        <v>4.9000000000000004</v>
      </c>
      <c r="G6" s="1">
        <v>4.82</v>
      </c>
      <c r="H6" s="1">
        <f>AVERAGE(F6:G6)</f>
        <v>4.8600000000000003</v>
      </c>
      <c r="I6" s="1">
        <v>3.24</v>
      </c>
      <c r="J6" s="1"/>
      <c r="K6" s="1"/>
      <c r="L6" s="1">
        <v>1.06</v>
      </c>
      <c r="M6" s="1">
        <v>1.1299999999999999</v>
      </c>
      <c r="N6" s="1">
        <f>AVERAGE(L6:M6)</f>
        <v>1.095</v>
      </c>
      <c r="O6" s="1">
        <v>0</v>
      </c>
      <c r="P6" s="1">
        <v>44</v>
      </c>
      <c r="Q6" s="1"/>
      <c r="R6" s="1"/>
      <c r="S6" s="1"/>
      <c r="T6" s="1"/>
      <c r="U6" s="1"/>
    </row>
    <row r="7" spans="1:21" x14ac:dyDescent="0.2">
      <c r="A7" s="10">
        <v>2086</v>
      </c>
      <c r="B7" s="7"/>
      <c r="C7" s="1">
        <v>2.77</v>
      </c>
      <c r="D7" s="1">
        <v>2.9</v>
      </c>
      <c r="E7">
        <f t="shared" ref="E7:E30" si="0">AVERAGE(C7:D7)</f>
        <v>2.835</v>
      </c>
      <c r="F7" s="1">
        <v>6.62</v>
      </c>
      <c r="G7" s="1">
        <v>5.62</v>
      </c>
      <c r="H7" s="1">
        <f t="shared" ref="H7:H30" si="1">AVERAGE(F7:G7)</f>
        <v>6.12</v>
      </c>
      <c r="I7" s="1">
        <v>60</v>
      </c>
      <c r="J7" s="1"/>
      <c r="K7" s="1"/>
      <c r="L7" s="1">
        <v>1.33</v>
      </c>
      <c r="M7" s="1">
        <v>1.4</v>
      </c>
      <c r="N7" s="1">
        <f t="shared" ref="N7:N30" si="2">AVERAGE(L7:M7)</f>
        <v>1.365</v>
      </c>
      <c r="O7" s="1">
        <v>0</v>
      </c>
      <c r="P7" s="1">
        <v>44</v>
      </c>
      <c r="Q7" s="1"/>
      <c r="R7" s="1"/>
      <c r="S7" s="1"/>
      <c r="T7" s="1"/>
      <c r="U7" s="1"/>
    </row>
    <row r="8" spans="1:21" x14ac:dyDescent="0.2">
      <c r="A8" s="10">
        <v>2087</v>
      </c>
      <c r="B8" s="7"/>
      <c r="C8" s="1">
        <v>2.83</v>
      </c>
      <c r="D8" s="1">
        <v>1.86</v>
      </c>
      <c r="E8">
        <f t="shared" si="0"/>
        <v>2.3450000000000002</v>
      </c>
      <c r="F8" s="1">
        <v>4.59</v>
      </c>
      <c r="G8" s="1">
        <v>4.29</v>
      </c>
      <c r="H8" s="1">
        <f t="shared" si="1"/>
        <v>4.4399999999999995</v>
      </c>
      <c r="I8" s="1">
        <v>60</v>
      </c>
      <c r="J8" s="1"/>
      <c r="K8" s="1"/>
      <c r="L8" s="1">
        <v>1.97</v>
      </c>
      <c r="M8" s="1">
        <v>2.23</v>
      </c>
      <c r="N8" s="1">
        <f t="shared" si="2"/>
        <v>2.1</v>
      </c>
      <c r="O8" s="1">
        <v>1</v>
      </c>
      <c r="P8" s="1">
        <v>39.5</v>
      </c>
      <c r="Q8" s="1"/>
      <c r="R8" s="1"/>
      <c r="S8" s="1"/>
      <c r="T8" s="1"/>
      <c r="U8" s="1"/>
    </row>
    <row r="9" spans="1:21" x14ac:dyDescent="0.2">
      <c r="A9" s="10">
        <v>2093</v>
      </c>
      <c r="B9" s="7"/>
      <c r="C9" s="1">
        <v>3.17</v>
      </c>
      <c r="D9" s="1">
        <v>2.2000000000000002</v>
      </c>
      <c r="E9">
        <f t="shared" si="0"/>
        <v>2.6850000000000001</v>
      </c>
      <c r="F9" s="1">
        <v>5.27</v>
      </c>
      <c r="G9" s="1">
        <v>5.59</v>
      </c>
      <c r="H9" s="1">
        <f t="shared" si="1"/>
        <v>5.43</v>
      </c>
      <c r="I9" s="1">
        <v>35.46</v>
      </c>
      <c r="J9" s="1"/>
      <c r="K9" s="1"/>
      <c r="L9" s="1">
        <v>1.8</v>
      </c>
      <c r="M9" s="1">
        <v>2.72</v>
      </c>
      <c r="N9" s="1">
        <f t="shared" si="2"/>
        <v>2.2600000000000002</v>
      </c>
      <c r="O9" s="1">
        <v>0</v>
      </c>
      <c r="P9" s="1">
        <v>43</v>
      </c>
      <c r="Q9" s="1"/>
      <c r="R9" s="1"/>
      <c r="S9" s="1"/>
      <c r="T9" s="1"/>
      <c r="U9" s="1"/>
    </row>
    <row r="10" spans="1:21" x14ac:dyDescent="0.2">
      <c r="A10" s="10">
        <v>2094</v>
      </c>
      <c r="B10" s="7"/>
      <c r="C10" s="1">
        <v>3.28</v>
      </c>
      <c r="D10" s="1">
        <v>2.46</v>
      </c>
      <c r="E10">
        <f t="shared" si="0"/>
        <v>2.87</v>
      </c>
      <c r="F10" s="1">
        <v>6.69</v>
      </c>
      <c r="G10" s="1">
        <v>8.86</v>
      </c>
      <c r="H10" s="1">
        <f t="shared" si="1"/>
        <v>7.7750000000000004</v>
      </c>
      <c r="I10" s="1">
        <v>60</v>
      </c>
      <c r="J10" s="1"/>
      <c r="K10" s="1"/>
      <c r="L10" s="1">
        <v>1.63</v>
      </c>
      <c r="M10" s="1">
        <v>3.09</v>
      </c>
      <c r="N10" s="1">
        <f t="shared" si="2"/>
        <v>2.36</v>
      </c>
      <c r="O10" s="1">
        <v>0</v>
      </c>
      <c r="P10" s="1">
        <v>40.5</v>
      </c>
      <c r="Q10" s="1"/>
      <c r="R10" s="1"/>
      <c r="S10" s="1"/>
      <c r="T10" s="1"/>
      <c r="U10" s="1"/>
    </row>
    <row r="11" spans="1:21" x14ac:dyDescent="0.2">
      <c r="A11" s="11">
        <v>2101</v>
      </c>
      <c r="B11" s="7"/>
      <c r="C11" s="1">
        <v>3.53</v>
      </c>
      <c r="D11" s="1">
        <v>2.77</v>
      </c>
      <c r="E11">
        <f t="shared" si="0"/>
        <v>3.15</v>
      </c>
      <c r="F11" s="1">
        <v>3.94</v>
      </c>
      <c r="G11" s="1">
        <v>3.67</v>
      </c>
      <c r="H11" s="1">
        <f t="shared" si="1"/>
        <v>3.8049999999999997</v>
      </c>
      <c r="I11" s="1">
        <v>26.69</v>
      </c>
      <c r="J11" s="1"/>
      <c r="K11" s="1"/>
      <c r="L11" s="1">
        <v>1.7</v>
      </c>
      <c r="M11" s="1">
        <v>1.35</v>
      </c>
      <c r="N11" s="1">
        <f t="shared" si="2"/>
        <v>1.5249999999999999</v>
      </c>
      <c r="O11" s="1">
        <v>1</v>
      </c>
      <c r="P11" s="1">
        <v>36.5</v>
      </c>
      <c r="Q11" s="1"/>
      <c r="R11" s="1"/>
      <c r="S11" s="1"/>
      <c r="T11" s="1"/>
      <c r="U11" s="1"/>
    </row>
    <row r="12" spans="1:21" x14ac:dyDescent="0.2">
      <c r="A12" s="11">
        <v>2102</v>
      </c>
      <c r="B12" s="7"/>
      <c r="C12" s="1">
        <v>3.1</v>
      </c>
      <c r="D12" s="1">
        <v>2.6</v>
      </c>
      <c r="E12">
        <f t="shared" si="0"/>
        <v>2.85</v>
      </c>
      <c r="F12" s="1">
        <v>4.09</v>
      </c>
      <c r="G12" s="1">
        <v>3.27</v>
      </c>
      <c r="H12" s="1">
        <f t="shared" si="1"/>
        <v>3.6799999999999997</v>
      </c>
      <c r="I12" s="1">
        <v>6.76</v>
      </c>
      <c r="J12" s="1"/>
      <c r="K12" s="1"/>
      <c r="L12" s="1">
        <v>2.65</v>
      </c>
      <c r="M12" s="1">
        <v>1.32</v>
      </c>
      <c r="N12" s="1">
        <f t="shared" si="2"/>
        <v>1.9849999999999999</v>
      </c>
      <c r="O12" s="1">
        <v>0</v>
      </c>
      <c r="P12" s="1">
        <v>31.5</v>
      </c>
      <c r="Q12" s="1"/>
      <c r="R12" s="1"/>
      <c r="S12" s="1"/>
      <c r="T12" s="1"/>
      <c r="U12" s="1"/>
    </row>
    <row r="13" spans="1:21" x14ac:dyDescent="0.2">
      <c r="A13" s="11">
        <v>2103</v>
      </c>
      <c r="B13" s="7"/>
      <c r="C13" s="1">
        <v>4.33</v>
      </c>
      <c r="D13" s="1">
        <v>4.17</v>
      </c>
      <c r="E13">
        <f t="shared" si="0"/>
        <v>4.25</v>
      </c>
      <c r="F13" s="1">
        <v>6.24</v>
      </c>
      <c r="G13" s="1">
        <v>7.16</v>
      </c>
      <c r="H13" s="1">
        <f t="shared" si="1"/>
        <v>6.7</v>
      </c>
      <c r="I13" s="1">
        <v>8.5399999999999991</v>
      </c>
      <c r="J13" s="1"/>
      <c r="K13" s="1"/>
      <c r="L13" s="1">
        <v>1.53</v>
      </c>
      <c r="M13" s="1">
        <v>0.98</v>
      </c>
      <c r="N13" s="1">
        <f t="shared" si="2"/>
        <v>1.2549999999999999</v>
      </c>
      <c r="O13" s="1">
        <v>1.5</v>
      </c>
      <c r="P13" s="1">
        <v>33</v>
      </c>
      <c r="Q13" s="1"/>
      <c r="R13" s="1"/>
      <c r="S13" s="1"/>
      <c r="T13" s="1"/>
      <c r="U13" s="1"/>
    </row>
    <row r="14" spans="1:21" x14ac:dyDescent="0.2">
      <c r="A14" s="11">
        <v>2097</v>
      </c>
      <c r="B14" s="7"/>
      <c r="C14" s="1">
        <v>2.98</v>
      </c>
      <c r="D14" s="1">
        <v>2.31</v>
      </c>
      <c r="E14">
        <f t="shared" si="0"/>
        <v>2.645</v>
      </c>
      <c r="F14" s="1">
        <v>5.45</v>
      </c>
      <c r="G14" s="1">
        <v>4.95</v>
      </c>
      <c r="H14" s="1">
        <f t="shared" si="1"/>
        <v>5.2</v>
      </c>
      <c r="I14" s="1">
        <v>15.29</v>
      </c>
      <c r="J14" s="1"/>
      <c r="K14" s="1"/>
      <c r="L14" s="1">
        <v>0.96</v>
      </c>
      <c r="M14" s="1">
        <v>1.21</v>
      </c>
      <c r="N14" s="1">
        <f t="shared" si="2"/>
        <v>1.085</v>
      </c>
      <c r="O14" s="1">
        <v>0.5</v>
      </c>
      <c r="P14" s="1">
        <v>37</v>
      </c>
      <c r="Q14" s="1"/>
      <c r="R14" s="1"/>
      <c r="S14" s="1"/>
      <c r="T14" s="1"/>
      <c r="U14" s="1"/>
    </row>
    <row r="15" spans="1:21" x14ac:dyDescent="0.2">
      <c r="A15" s="10">
        <v>2074</v>
      </c>
      <c r="B15" s="9" t="s">
        <v>15</v>
      </c>
      <c r="C15" s="1">
        <v>60</v>
      </c>
      <c r="D15" s="1">
        <v>7.86</v>
      </c>
      <c r="E15">
        <f t="shared" si="0"/>
        <v>33.93</v>
      </c>
      <c r="F15" s="1">
        <v>9.19</v>
      </c>
      <c r="G15" s="1">
        <v>17.86</v>
      </c>
      <c r="H15" s="1">
        <f t="shared" si="1"/>
        <v>13.524999999999999</v>
      </c>
      <c r="I15" s="1">
        <v>14.39</v>
      </c>
      <c r="J15" s="1"/>
      <c r="K15" s="1"/>
      <c r="L15" s="1">
        <v>1.53</v>
      </c>
      <c r="M15" s="1">
        <v>2.5499999999999998</v>
      </c>
      <c r="N15" s="1">
        <f t="shared" si="2"/>
        <v>2.04</v>
      </c>
      <c r="O15" s="1">
        <v>2</v>
      </c>
      <c r="P15" s="1">
        <v>25.5</v>
      </c>
      <c r="Q15" s="1"/>
      <c r="R15" s="1"/>
      <c r="S15" s="1"/>
      <c r="T15" s="1"/>
      <c r="U15" s="1"/>
    </row>
    <row r="16" spans="1:21" x14ac:dyDescent="0.2">
      <c r="A16" s="10">
        <v>2075</v>
      </c>
      <c r="B16" s="9"/>
      <c r="C16" s="1">
        <v>9.27</v>
      </c>
      <c r="D16" s="1">
        <v>4.07</v>
      </c>
      <c r="E16">
        <f t="shared" si="0"/>
        <v>6.67</v>
      </c>
      <c r="F16" s="1">
        <v>5.77</v>
      </c>
      <c r="G16" s="1">
        <v>4.57</v>
      </c>
      <c r="H16" s="1">
        <f t="shared" si="1"/>
        <v>5.17</v>
      </c>
      <c r="I16" s="1">
        <v>8.0399999999999991</v>
      </c>
      <c r="J16" s="1"/>
      <c r="K16" s="1"/>
      <c r="L16" s="1">
        <v>7.33</v>
      </c>
      <c r="M16" s="1">
        <v>3.95</v>
      </c>
      <c r="N16" s="1">
        <f t="shared" si="2"/>
        <v>5.6400000000000006</v>
      </c>
      <c r="O16" s="1">
        <v>2</v>
      </c>
      <c r="P16" s="1">
        <v>26.5</v>
      </c>
      <c r="Q16" s="1"/>
      <c r="R16" s="1"/>
      <c r="S16" s="1"/>
      <c r="T16" s="1"/>
      <c r="U16" s="1"/>
    </row>
    <row r="17" spans="1:21" x14ac:dyDescent="0.2">
      <c r="A17" s="10">
        <v>2076</v>
      </c>
      <c r="B17" s="9"/>
      <c r="C17" s="1">
        <v>5.64</v>
      </c>
      <c r="D17" s="1">
        <v>3.33</v>
      </c>
      <c r="E17">
        <f t="shared" si="0"/>
        <v>4.4849999999999994</v>
      </c>
      <c r="F17" s="1">
        <v>10.75</v>
      </c>
      <c r="G17" s="1">
        <v>10.11</v>
      </c>
      <c r="H17" s="1">
        <f t="shared" si="1"/>
        <v>10.43</v>
      </c>
      <c r="I17" s="1">
        <v>21.49</v>
      </c>
      <c r="J17" s="1"/>
      <c r="K17" s="1"/>
      <c r="L17" s="1">
        <v>7.73</v>
      </c>
      <c r="M17" s="1">
        <v>3.45</v>
      </c>
      <c r="N17" s="1">
        <f t="shared" si="2"/>
        <v>5.59</v>
      </c>
      <c r="O17" s="1">
        <v>1.5</v>
      </c>
      <c r="P17" s="1">
        <v>27</v>
      </c>
      <c r="Q17" s="1"/>
      <c r="R17" s="1"/>
      <c r="S17" s="1"/>
      <c r="T17" s="1"/>
      <c r="U17" s="1"/>
    </row>
    <row r="18" spans="1:21" x14ac:dyDescent="0.2">
      <c r="A18" s="10">
        <v>2096</v>
      </c>
      <c r="B18" s="9"/>
      <c r="C18" s="1">
        <v>2.87</v>
      </c>
      <c r="D18" s="1">
        <v>2.85</v>
      </c>
      <c r="E18">
        <f t="shared" si="0"/>
        <v>2.8600000000000003</v>
      </c>
      <c r="F18" s="1">
        <v>9.01</v>
      </c>
      <c r="G18" s="1">
        <v>5.05</v>
      </c>
      <c r="H18" s="1">
        <f t="shared" si="1"/>
        <v>7.0299999999999994</v>
      </c>
      <c r="I18" s="1">
        <v>5.92</v>
      </c>
      <c r="J18" s="1"/>
      <c r="K18" s="1"/>
      <c r="L18" s="1">
        <v>1.03</v>
      </c>
      <c r="M18" s="1">
        <v>2.2200000000000002</v>
      </c>
      <c r="N18" s="1">
        <f t="shared" si="2"/>
        <v>1.625</v>
      </c>
      <c r="O18" s="1">
        <v>2.5</v>
      </c>
      <c r="P18" s="1">
        <v>31.5</v>
      </c>
      <c r="Q18" s="1"/>
      <c r="R18" s="1"/>
      <c r="S18" s="1"/>
      <c r="T18" s="1"/>
      <c r="U18" s="1"/>
    </row>
    <row r="19" spans="1:21" x14ac:dyDescent="0.2">
      <c r="A19" s="11">
        <v>2085</v>
      </c>
      <c r="B19" s="9"/>
      <c r="C19" s="1">
        <v>5.82</v>
      </c>
      <c r="D19" s="1">
        <v>9.07</v>
      </c>
      <c r="E19">
        <f t="shared" si="0"/>
        <v>7.4450000000000003</v>
      </c>
      <c r="F19" s="1">
        <v>10.95</v>
      </c>
      <c r="G19" s="1">
        <v>14.54</v>
      </c>
      <c r="H19" s="1">
        <f t="shared" si="1"/>
        <v>12.744999999999999</v>
      </c>
      <c r="I19" s="1">
        <v>3.99</v>
      </c>
      <c r="J19" s="1"/>
      <c r="K19" s="1"/>
      <c r="L19" s="1">
        <v>1.77</v>
      </c>
      <c r="M19" s="1">
        <v>2.48</v>
      </c>
      <c r="N19" s="1">
        <f t="shared" si="2"/>
        <v>2.125</v>
      </c>
      <c r="O19" s="1">
        <v>3</v>
      </c>
      <c r="P19" s="1">
        <v>33.5</v>
      </c>
      <c r="Q19" s="1"/>
      <c r="R19" s="1"/>
      <c r="S19" s="1"/>
      <c r="T19" s="1"/>
      <c r="U19" s="1"/>
    </row>
    <row r="20" spans="1:21" x14ac:dyDescent="0.2">
      <c r="A20" s="11">
        <v>2088</v>
      </c>
      <c r="B20" s="9"/>
      <c r="C20" s="1">
        <v>8.8699999999999992</v>
      </c>
      <c r="D20" s="1">
        <v>5.83</v>
      </c>
      <c r="E20">
        <f t="shared" si="0"/>
        <v>7.35</v>
      </c>
      <c r="F20" s="1">
        <v>4.9000000000000004</v>
      </c>
      <c r="G20" s="1">
        <v>17.350000000000001</v>
      </c>
      <c r="H20" s="1">
        <f t="shared" si="1"/>
        <v>11.125</v>
      </c>
      <c r="I20" s="1">
        <v>11.25</v>
      </c>
      <c r="J20" s="1"/>
      <c r="K20" s="1"/>
      <c r="L20" s="1">
        <v>6.39</v>
      </c>
      <c r="M20" s="1">
        <v>14.27</v>
      </c>
      <c r="N20" s="1">
        <f t="shared" si="2"/>
        <v>10.33</v>
      </c>
      <c r="O20" s="1">
        <v>1.5</v>
      </c>
      <c r="P20" s="1">
        <v>26</v>
      </c>
      <c r="Q20" s="1"/>
      <c r="R20" s="1"/>
      <c r="S20" s="1"/>
      <c r="T20" s="1"/>
      <c r="U20" s="1"/>
    </row>
    <row r="21" spans="1:21" x14ac:dyDescent="0.2">
      <c r="A21" s="20">
        <v>2089</v>
      </c>
      <c r="B21" s="9"/>
      <c r="C21" s="1">
        <v>3.85</v>
      </c>
      <c r="D21" s="1">
        <v>4.37</v>
      </c>
      <c r="E21">
        <f t="shared" si="0"/>
        <v>4.1100000000000003</v>
      </c>
      <c r="F21" s="1">
        <v>4.0199999999999996</v>
      </c>
      <c r="G21" s="1">
        <v>2.67</v>
      </c>
      <c r="H21" s="1">
        <f t="shared" si="1"/>
        <v>3.3449999999999998</v>
      </c>
      <c r="I21" s="1">
        <v>1.53</v>
      </c>
      <c r="J21" s="1"/>
      <c r="K21" s="1"/>
      <c r="L21" s="1">
        <v>2.95</v>
      </c>
      <c r="M21" s="1">
        <v>1.38</v>
      </c>
      <c r="N21" s="1">
        <f t="shared" si="2"/>
        <v>2.165</v>
      </c>
      <c r="O21" s="1">
        <v>2.5</v>
      </c>
      <c r="P21" s="1">
        <v>33.5</v>
      </c>
      <c r="Q21" s="1"/>
      <c r="R21" s="1"/>
      <c r="S21" s="1"/>
      <c r="T21" s="1"/>
      <c r="U21" s="1"/>
    </row>
    <row r="22" spans="1:21" x14ac:dyDescent="0.2">
      <c r="A22" s="20">
        <v>2092</v>
      </c>
      <c r="B22" s="9"/>
      <c r="C22" s="1">
        <v>8.9</v>
      </c>
      <c r="D22" s="1">
        <v>4.83</v>
      </c>
      <c r="E22">
        <f t="shared" si="0"/>
        <v>6.8650000000000002</v>
      </c>
      <c r="F22" s="1">
        <v>5.25</v>
      </c>
      <c r="G22" s="1">
        <v>3.65</v>
      </c>
      <c r="H22" s="1">
        <f t="shared" si="1"/>
        <v>4.45</v>
      </c>
      <c r="I22" s="1">
        <v>1.25</v>
      </c>
      <c r="J22" s="1"/>
      <c r="K22" s="1"/>
      <c r="L22" s="1">
        <v>6.49</v>
      </c>
      <c r="M22" s="1">
        <v>2.12</v>
      </c>
      <c r="N22" s="1">
        <f t="shared" si="2"/>
        <v>4.3049999999999997</v>
      </c>
      <c r="O22" s="1">
        <v>2.5</v>
      </c>
      <c r="P22" s="1">
        <v>34</v>
      </c>
      <c r="Q22" s="1"/>
      <c r="R22" s="1"/>
      <c r="S22" s="1"/>
      <c r="T22" s="1"/>
      <c r="U22" s="1"/>
    </row>
    <row r="23" spans="1:21" x14ac:dyDescent="0.2">
      <c r="A23" s="21">
        <v>2077</v>
      </c>
      <c r="B23" s="12" t="s">
        <v>44</v>
      </c>
      <c r="C23" s="1">
        <v>60</v>
      </c>
      <c r="D23" s="1">
        <v>5.57</v>
      </c>
      <c r="E23">
        <f t="shared" si="0"/>
        <v>32.784999999999997</v>
      </c>
      <c r="F23" s="1">
        <v>4.3499999999999996</v>
      </c>
      <c r="G23" s="1">
        <v>3.9</v>
      </c>
      <c r="H23" s="1">
        <f t="shared" si="1"/>
        <v>4.125</v>
      </c>
      <c r="I23" s="1">
        <v>1.32</v>
      </c>
      <c r="J23" s="1"/>
      <c r="K23" s="1"/>
      <c r="L23" s="1">
        <v>6.36</v>
      </c>
      <c r="M23" s="1">
        <v>26.23</v>
      </c>
      <c r="N23" s="1">
        <f t="shared" si="2"/>
        <v>16.295000000000002</v>
      </c>
      <c r="O23" s="1">
        <v>1.5</v>
      </c>
      <c r="P23" s="1">
        <v>31.5</v>
      </c>
      <c r="Q23" s="1"/>
      <c r="R23" s="1"/>
      <c r="S23" s="1"/>
      <c r="T23" s="1"/>
      <c r="U23" s="1"/>
    </row>
    <row r="24" spans="1:21" x14ac:dyDescent="0.2">
      <c r="A24" s="21">
        <v>2078</v>
      </c>
      <c r="B24" s="12"/>
      <c r="C24" s="1">
        <v>8.6999999999999993</v>
      </c>
      <c r="D24" s="1">
        <v>5.15</v>
      </c>
      <c r="E24">
        <f t="shared" si="0"/>
        <v>6.9249999999999998</v>
      </c>
      <c r="F24" s="1">
        <v>5.24</v>
      </c>
      <c r="G24" s="1">
        <v>4.6500000000000004</v>
      </c>
      <c r="H24" s="1">
        <f t="shared" si="1"/>
        <v>4.9450000000000003</v>
      </c>
      <c r="I24" s="1">
        <v>11.17</v>
      </c>
      <c r="J24" s="1"/>
      <c r="K24" s="1"/>
      <c r="L24" s="1">
        <v>2.87</v>
      </c>
      <c r="M24" s="1">
        <v>30</v>
      </c>
      <c r="N24" s="1">
        <f t="shared" si="2"/>
        <v>16.434999999999999</v>
      </c>
      <c r="O24" s="1">
        <v>0</v>
      </c>
      <c r="P24" s="1">
        <v>39</v>
      </c>
      <c r="Q24" s="1"/>
      <c r="R24" s="1"/>
      <c r="S24" s="1"/>
      <c r="T24" s="1"/>
      <c r="U24" s="1"/>
    </row>
    <row r="25" spans="1:21" x14ac:dyDescent="0.2">
      <c r="A25" s="22">
        <v>2081</v>
      </c>
      <c r="B25" s="12"/>
      <c r="C25" s="1">
        <v>18.48</v>
      </c>
      <c r="D25" s="1">
        <v>12.96</v>
      </c>
      <c r="E25">
        <f t="shared" si="0"/>
        <v>15.72</v>
      </c>
      <c r="F25" s="1">
        <v>4.67</v>
      </c>
      <c r="G25" s="1">
        <v>2.78</v>
      </c>
      <c r="H25" s="1">
        <f t="shared" si="1"/>
        <v>3.7249999999999996</v>
      </c>
      <c r="I25" s="1">
        <v>1.72</v>
      </c>
      <c r="J25" s="1"/>
      <c r="K25" s="1"/>
      <c r="L25" s="1">
        <v>2.95</v>
      </c>
      <c r="M25" s="1">
        <v>12.77</v>
      </c>
      <c r="N25" s="1">
        <f t="shared" si="2"/>
        <v>7.8599999999999994</v>
      </c>
      <c r="O25" s="1">
        <v>1.5</v>
      </c>
      <c r="P25" s="1">
        <v>31</v>
      </c>
      <c r="Q25" s="1"/>
      <c r="R25" s="1"/>
      <c r="S25" s="1"/>
      <c r="T25" s="1"/>
      <c r="U25" s="1"/>
    </row>
    <row r="26" spans="1:21" x14ac:dyDescent="0.2">
      <c r="A26" s="20">
        <v>2098</v>
      </c>
      <c r="B26" s="12"/>
      <c r="C26" s="1">
        <v>9.07</v>
      </c>
      <c r="D26" s="1">
        <v>60</v>
      </c>
      <c r="E26">
        <f t="shared" si="0"/>
        <v>34.534999999999997</v>
      </c>
      <c r="F26" s="1">
        <v>8.86</v>
      </c>
      <c r="G26" s="1">
        <v>8.58</v>
      </c>
      <c r="H26" s="1">
        <f t="shared" si="1"/>
        <v>8.7199999999999989</v>
      </c>
      <c r="I26" s="23" t="s">
        <v>45</v>
      </c>
      <c r="J26" s="23"/>
      <c r="K26" s="23"/>
      <c r="L26" s="23"/>
      <c r="M26" s="23"/>
      <c r="N26" s="23"/>
      <c r="O26" s="23"/>
      <c r="P26" s="23"/>
      <c r="Q26" s="1"/>
      <c r="R26" s="1"/>
      <c r="S26" s="1"/>
      <c r="T26" s="1"/>
      <c r="U26" s="1"/>
    </row>
    <row r="27" spans="1:21" x14ac:dyDescent="0.2">
      <c r="A27" s="20">
        <v>2099</v>
      </c>
      <c r="B27" s="12"/>
      <c r="C27" s="1">
        <v>5.12</v>
      </c>
      <c r="D27" s="1">
        <v>6.75</v>
      </c>
      <c r="E27">
        <f t="shared" si="0"/>
        <v>5.9350000000000005</v>
      </c>
      <c r="F27" s="1">
        <v>6.17</v>
      </c>
      <c r="G27" s="1">
        <v>3.85</v>
      </c>
      <c r="H27" s="1">
        <f t="shared" si="1"/>
        <v>5.01</v>
      </c>
      <c r="I27" s="1">
        <v>31.67</v>
      </c>
      <c r="J27" s="1"/>
      <c r="K27" s="1"/>
      <c r="L27" s="1">
        <v>1.87</v>
      </c>
      <c r="M27" s="1">
        <v>11.07</v>
      </c>
      <c r="N27" s="1">
        <f t="shared" si="2"/>
        <v>6.4700000000000006</v>
      </c>
      <c r="O27" s="1">
        <v>1.5</v>
      </c>
      <c r="P27" s="1">
        <v>35</v>
      </c>
      <c r="Q27" s="1"/>
      <c r="R27" s="1"/>
      <c r="S27" s="1"/>
      <c r="T27" s="1"/>
      <c r="U27" s="1"/>
    </row>
    <row r="28" spans="1:21" x14ac:dyDescent="0.2">
      <c r="A28" s="20">
        <v>2095</v>
      </c>
      <c r="B28" s="12"/>
      <c r="C28" s="1">
        <v>5.89</v>
      </c>
      <c r="D28" s="1">
        <v>6.84</v>
      </c>
      <c r="E28">
        <f t="shared" si="0"/>
        <v>6.3650000000000002</v>
      </c>
      <c r="F28" s="1">
        <v>5.56</v>
      </c>
      <c r="G28" s="1">
        <v>5.54</v>
      </c>
      <c r="H28" s="1">
        <f t="shared" si="1"/>
        <v>5.55</v>
      </c>
      <c r="I28" s="1">
        <v>10.98</v>
      </c>
      <c r="J28" s="1"/>
      <c r="K28" s="1"/>
      <c r="L28" s="1">
        <v>1.75</v>
      </c>
      <c r="M28" s="1">
        <v>3.27</v>
      </c>
      <c r="N28" s="1">
        <f t="shared" si="2"/>
        <v>2.5099999999999998</v>
      </c>
      <c r="O28" s="1">
        <v>2</v>
      </c>
      <c r="P28" s="1">
        <v>29</v>
      </c>
      <c r="Q28" s="1"/>
      <c r="R28" s="1"/>
      <c r="S28" s="1"/>
      <c r="T28" s="1"/>
      <c r="U28" s="1"/>
    </row>
    <row r="29" spans="1:21" x14ac:dyDescent="0.2">
      <c r="A29" s="21">
        <v>2104</v>
      </c>
      <c r="B29" s="12"/>
      <c r="C29" s="1">
        <v>2.83</v>
      </c>
      <c r="D29" s="1">
        <v>2.08</v>
      </c>
      <c r="E29">
        <f t="shared" si="0"/>
        <v>2.4550000000000001</v>
      </c>
      <c r="F29" s="1">
        <v>4.99</v>
      </c>
      <c r="G29" s="1">
        <v>3.29</v>
      </c>
      <c r="H29" s="1">
        <f t="shared" si="1"/>
        <v>4.1400000000000006</v>
      </c>
      <c r="I29" s="1">
        <v>20.97</v>
      </c>
      <c r="J29" s="1"/>
      <c r="K29" s="1"/>
      <c r="L29" s="1">
        <v>1.01</v>
      </c>
      <c r="M29" s="1">
        <v>1.62</v>
      </c>
      <c r="N29" s="1">
        <f t="shared" si="2"/>
        <v>1.3149999999999999</v>
      </c>
      <c r="O29" s="1">
        <v>1</v>
      </c>
      <c r="P29" s="1">
        <v>29.5</v>
      </c>
      <c r="Q29" s="1"/>
      <c r="R29" s="1"/>
      <c r="S29" s="1"/>
      <c r="T29" s="1"/>
      <c r="U29" s="1"/>
    </row>
    <row r="30" spans="1:21" x14ac:dyDescent="0.2">
      <c r="A30" s="21">
        <v>2016</v>
      </c>
      <c r="B30" s="12"/>
      <c r="C30" s="1">
        <v>3.93</v>
      </c>
      <c r="D30" s="1">
        <v>1.78</v>
      </c>
      <c r="E30">
        <f t="shared" si="0"/>
        <v>2.855</v>
      </c>
      <c r="F30" s="1">
        <v>3.1</v>
      </c>
      <c r="G30" s="1">
        <v>2.83</v>
      </c>
      <c r="H30" s="1">
        <f t="shared" si="1"/>
        <v>2.9649999999999999</v>
      </c>
      <c r="I30" s="1">
        <v>9.41</v>
      </c>
      <c r="J30" s="1"/>
      <c r="K30" s="1"/>
      <c r="L30" s="1">
        <v>1.65</v>
      </c>
      <c r="M30" s="1">
        <v>1.23</v>
      </c>
      <c r="N30" s="1">
        <f t="shared" si="2"/>
        <v>1.44</v>
      </c>
      <c r="O30" s="1">
        <v>3</v>
      </c>
      <c r="P30" s="1">
        <v>28.5</v>
      </c>
      <c r="Q30" s="1"/>
      <c r="R30" s="1"/>
      <c r="S30" s="1"/>
      <c r="T30" s="1"/>
      <c r="U30" s="1"/>
    </row>
    <row r="31" spans="1:21" x14ac:dyDescent="0.2">
      <c r="B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"/>
      <c r="C35" s="1"/>
      <c r="D35" s="1" t="s">
        <v>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3" t="s">
        <v>16</v>
      </c>
      <c r="E36" s="1"/>
      <c r="F36" s="1"/>
      <c r="G36" s="3" t="s">
        <v>17</v>
      </c>
      <c r="H36" s="1"/>
      <c r="I36" s="1"/>
      <c r="J36" s="3" t="s">
        <v>18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4">
        <v>1</v>
      </c>
      <c r="E37" s="4">
        <v>2</v>
      </c>
      <c r="F37" s="5" t="s">
        <v>10</v>
      </c>
      <c r="G37" s="4">
        <v>1</v>
      </c>
      <c r="H37" s="4">
        <v>2</v>
      </c>
      <c r="I37" s="5" t="s">
        <v>10</v>
      </c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0">
        <v>2090</v>
      </c>
      <c r="C38" s="6" t="s">
        <v>14</v>
      </c>
      <c r="D38" s="1">
        <v>11</v>
      </c>
      <c r="E38" s="1">
        <v>10</v>
      </c>
      <c r="F38" s="1">
        <f>AVERAGE(D38:E38)</f>
        <v>10.5</v>
      </c>
      <c r="G38" s="1">
        <v>2</v>
      </c>
      <c r="H38" s="1">
        <v>2</v>
      </c>
      <c r="I38" s="1">
        <f>AVERAGE(G38:H38)</f>
        <v>2</v>
      </c>
      <c r="J38" s="1">
        <f>I38/F38</f>
        <v>0.19047619047619047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0">
        <v>2086</v>
      </c>
      <c r="C39" s="7"/>
      <c r="D39" s="1">
        <v>11</v>
      </c>
      <c r="E39" s="1">
        <v>10</v>
      </c>
      <c r="F39" s="1">
        <f t="shared" ref="F39:F62" si="3">AVERAGE(D39:E39)</f>
        <v>10.5</v>
      </c>
      <c r="G39" s="1">
        <v>6</v>
      </c>
      <c r="H39" s="1">
        <v>3</v>
      </c>
      <c r="I39" s="1">
        <f t="shared" ref="I39:I62" si="4">AVERAGE(G39:H39)</f>
        <v>4.5</v>
      </c>
      <c r="J39" s="1">
        <f t="shared" ref="J39:J62" si="5">I39/F39</f>
        <v>0.42857142857142855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0">
        <v>2087</v>
      </c>
      <c r="C40" s="7"/>
      <c r="D40" s="1">
        <v>10</v>
      </c>
      <c r="E40" s="1">
        <v>9</v>
      </c>
      <c r="F40" s="1">
        <f t="shared" si="3"/>
        <v>9.5</v>
      </c>
      <c r="G40" s="1">
        <v>2</v>
      </c>
      <c r="H40" s="1">
        <v>1</v>
      </c>
      <c r="I40" s="1">
        <f t="shared" si="4"/>
        <v>1.5</v>
      </c>
      <c r="J40" s="1">
        <f t="shared" si="5"/>
        <v>0.15789473684210525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0">
        <v>2093</v>
      </c>
      <c r="C41" s="7"/>
      <c r="D41" s="1">
        <v>12</v>
      </c>
      <c r="E41" s="1">
        <v>10</v>
      </c>
      <c r="F41" s="1">
        <f t="shared" si="3"/>
        <v>11</v>
      </c>
      <c r="G41" s="1">
        <v>5</v>
      </c>
      <c r="H41" s="1">
        <v>4</v>
      </c>
      <c r="I41" s="1">
        <f t="shared" si="4"/>
        <v>4.5</v>
      </c>
      <c r="J41" s="1">
        <f t="shared" si="5"/>
        <v>0.40909090909090912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0">
        <v>2094</v>
      </c>
      <c r="C42" s="7"/>
      <c r="D42" s="1">
        <v>12</v>
      </c>
      <c r="E42" s="1">
        <v>11</v>
      </c>
      <c r="F42" s="1">
        <f t="shared" si="3"/>
        <v>11.5</v>
      </c>
      <c r="G42" s="1">
        <v>6</v>
      </c>
      <c r="H42" s="1">
        <v>3</v>
      </c>
      <c r="I42" s="1">
        <f t="shared" si="4"/>
        <v>4.5</v>
      </c>
      <c r="J42" s="1">
        <f t="shared" si="5"/>
        <v>0.39130434782608697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1">
        <v>2101</v>
      </c>
      <c r="C43" s="7"/>
      <c r="D43" s="1">
        <v>10</v>
      </c>
      <c r="E43" s="1">
        <v>10</v>
      </c>
      <c r="F43" s="1">
        <f t="shared" si="3"/>
        <v>10</v>
      </c>
      <c r="G43" s="1">
        <v>5</v>
      </c>
      <c r="H43" s="1">
        <v>2</v>
      </c>
      <c r="I43" s="1">
        <f t="shared" si="4"/>
        <v>3.5</v>
      </c>
      <c r="J43" s="1">
        <f t="shared" si="5"/>
        <v>0.35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1">
        <v>2102</v>
      </c>
      <c r="C44" s="7"/>
      <c r="D44" s="1">
        <v>9</v>
      </c>
      <c r="E44" s="1">
        <v>10</v>
      </c>
      <c r="F44" s="1">
        <f t="shared" si="3"/>
        <v>9.5</v>
      </c>
      <c r="G44" s="1">
        <v>2</v>
      </c>
      <c r="H44" s="1">
        <v>3</v>
      </c>
      <c r="I44" s="1">
        <f t="shared" si="4"/>
        <v>2.5</v>
      </c>
      <c r="J44" s="1">
        <f t="shared" si="5"/>
        <v>0.26315789473684209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1">
        <v>2103</v>
      </c>
      <c r="C45" s="7"/>
      <c r="D45" s="1">
        <v>9</v>
      </c>
      <c r="E45" s="1">
        <v>10</v>
      </c>
      <c r="F45" s="1">
        <f t="shared" si="3"/>
        <v>9.5</v>
      </c>
      <c r="G45" s="1">
        <v>3</v>
      </c>
      <c r="H45" s="1">
        <v>3</v>
      </c>
      <c r="I45" s="1">
        <f t="shared" si="4"/>
        <v>3</v>
      </c>
      <c r="J45" s="1">
        <f t="shared" si="5"/>
        <v>0.31578947368421051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1">
        <v>2097</v>
      </c>
      <c r="C46" s="7"/>
      <c r="D46" s="1">
        <v>9</v>
      </c>
      <c r="E46" s="1">
        <v>9</v>
      </c>
      <c r="F46" s="1">
        <f t="shared" si="3"/>
        <v>9</v>
      </c>
      <c r="G46" s="1">
        <v>4</v>
      </c>
      <c r="H46" s="1">
        <v>2</v>
      </c>
      <c r="I46" s="1">
        <f t="shared" si="4"/>
        <v>3</v>
      </c>
      <c r="J46" s="1">
        <f t="shared" si="5"/>
        <v>0.33333333333333331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0">
        <v>2074</v>
      </c>
      <c r="C47" s="9" t="s">
        <v>15</v>
      </c>
      <c r="D47" s="1">
        <v>10</v>
      </c>
      <c r="E47" s="1">
        <v>11</v>
      </c>
      <c r="F47" s="1">
        <f t="shared" si="3"/>
        <v>10.5</v>
      </c>
      <c r="G47" s="1">
        <v>7</v>
      </c>
      <c r="H47" s="1">
        <v>9</v>
      </c>
      <c r="I47" s="1">
        <f t="shared" si="4"/>
        <v>8</v>
      </c>
      <c r="J47" s="1">
        <f t="shared" si="5"/>
        <v>0.76190476190476186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0">
        <v>2075</v>
      </c>
      <c r="C48" s="9"/>
      <c r="D48" s="1">
        <v>12</v>
      </c>
      <c r="E48" s="1">
        <v>11</v>
      </c>
      <c r="F48" s="1">
        <f t="shared" si="3"/>
        <v>11.5</v>
      </c>
      <c r="G48" s="1">
        <v>8</v>
      </c>
      <c r="H48" s="1">
        <v>5</v>
      </c>
      <c r="I48" s="1">
        <f t="shared" si="4"/>
        <v>6.5</v>
      </c>
      <c r="J48" s="1">
        <f t="shared" si="5"/>
        <v>0.56521739130434778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0">
        <v>2076</v>
      </c>
      <c r="C49" s="9"/>
      <c r="D49" s="1">
        <v>11</v>
      </c>
      <c r="E49" s="1">
        <v>11</v>
      </c>
      <c r="F49" s="1">
        <f t="shared" si="3"/>
        <v>11</v>
      </c>
      <c r="G49" s="1">
        <v>3</v>
      </c>
      <c r="H49" s="1">
        <v>2</v>
      </c>
      <c r="I49" s="1">
        <f t="shared" si="4"/>
        <v>2.5</v>
      </c>
      <c r="J49" s="1">
        <f t="shared" si="5"/>
        <v>0.22727272727272727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0">
        <v>2096</v>
      </c>
      <c r="C50" s="9"/>
      <c r="D50" s="1">
        <v>10</v>
      </c>
      <c r="E50" s="1">
        <v>10</v>
      </c>
      <c r="F50" s="1">
        <f t="shared" si="3"/>
        <v>10</v>
      </c>
      <c r="G50" s="1">
        <v>8</v>
      </c>
      <c r="H50" s="1">
        <v>4</v>
      </c>
      <c r="I50" s="1">
        <f t="shared" si="4"/>
        <v>6</v>
      </c>
      <c r="J50" s="1">
        <f t="shared" si="5"/>
        <v>0.6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1">
        <v>2085</v>
      </c>
      <c r="C51" s="9"/>
      <c r="D51" s="1"/>
      <c r="E51" s="1">
        <v>11</v>
      </c>
      <c r="F51" s="1">
        <f t="shared" si="3"/>
        <v>11</v>
      </c>
      <c r="G51" s="1"/>
      <c r="H51" s="1">
        <v>8</v>
      </c>
      <c r="I51" s="1">
        <f t="shared" si="4"/>
        <v>8</v>
      </c>
      <c r="J51" s="1">
        <f t="shared" si="5"/>
        <v>0.72727272727272729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1">
        <v>2088</v>
      </c>
      <c r="C52" s="9"/>
      <c r="D52" s="1">
        <v>13</v>
      </c>
      <c r="E52" s="1">
        <v>13</v>
      </c>
      <c r="F52" s="1">
        <f t="shared" si="3"/>
        <v>13</v>
      </c>
      <c r="G52" s="1">
        <v>14</v>
      </c>
      <c r="H52" s="1">
        <v>8</v>
      </c>
      <c r="I52" s="1">
        <f t="shared" si="4"/>
        <v>11</v>
      </c>
      <c r="J52" s="1">
        <f t="shared" si="5"/>
        <v>0.84615384615384615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20">
        <v>2089</v>
      </c>
      <c r="C53" s="9"/>
      <c r="D53" s="1">
        <v>12</v>
      </c>
      <c r="E53" s="1">
        <v>11</v>
      </c>
      <c r="F53" s="1">
        <f t="shared" si="3"/>
        <v>11.5</v>
      </c>
      <c r="G53" s="1">
        <v>10</v>
      </c>
      <c r="H53" s="1">
        <v>9</v>
      </c>
      <c r="I53" s="1">
        <f t="shared" si="4"/>
        <v>9.5</v>
      </c>
      <c r="J53" s="1">
        <f t="shared" si="5"/>
        <v>0.82608695652173914</v>
      </c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B54" s="20">
        <v>2092</v>
      </c>
      <c r="C54" s="9"/>
      <c r="D54" s="1">
        <v>12</v>
      </c>
      <c r="E54" s="1">
        <v>11</v>
      </c>
      <c r="F54" s="1">
        <f t="shared" si="3"/>
        <v>11.5</v>
      </c>
      <c r="G54" s="1">
        <v>13</v>
      </c>
      <c r="H54" s="1">
        <v>11</v>
      </c>
      <c r="I54" s="1">
        <f t="shared" si="4"/>
        <v>12</v>
      </c>
      <c r="J54" s="1">
        <f t="shared" si="5"/>
        <v>1.0434782608695652</v>
      </c>
    </row>
    <row r="55" spans="1:21" x14ac:dyDescent="0.2">
      <c r="B55" s="21">
        <v>2077</v>
      </c>
      <c r="C55" s="12" t="s">
        <v>44</v>
      </c>
      <c r="E55" s="1">
        <v>11</v>
      </c>
      <c r="F55" s="1">
        <f t="shared" si="3"/>
        <v>11</v>
      </c>
      <c r="H55" s="1">
        <v>7</v>
      </c>
      <c r="I55" s="1">
        <f t="shared" si="4"/>
        <v>7</v>
      </c>
      <c r="J55" s="1">
        <f t="shared" si="5"/>
        <v>0.63636363636363635</v>
      </c>
    </row>
    <row r="56" spans="1:21" x14ac:dyDescent="0.2">
      <c r="B56" s="21">
        <v>2078</v>
      </c>
      <c r="C56" s="12"/>
      <c r="D56" s="1">
        <v>11</v>
      </c>
      <c r="E56" s="1">
        <v>12</v>
      </c>
      <c r="F56" s="1">
        <f t="shared" si="3"/>
        <v>11.5</v>
      </c>
      <c r="G56" s="1">
        <v>7</v>
      </c>
      <c r="H56" s="1">
        <v>8</v>
      </c>
      <c r="I56" s="1">
        <f t="shared" si="4"/>
        <v>7.5</v>
      </c>
      <c r="J56" s="1">
        <f t="shared" si="5"/>
        <v>0.65217391304347827</v>
      </c>
    </row>
    <row r="57" spans="1:21" x14ac:dyDescent="0.2">
      <c r="B57" s="22">
        <v>2081</v>
      </c>
      <c r="C57" s="12"/>
      <c r="D57" s="1">
        <v>12</v>
      </c>
      <c r="E57" s="1">
        <v>12</v>
      </c>
      <c r="F57" s="1">
        <f t="shared" si="3"/>
        <v>12</v>
      </c>
      <c r="G57" s="1">
        <v>13</v>
      </c>
      <c r="H57" s="1">
        <v>15</v>
      </c>
      <c r="I57" s="1">
        <f t="shared" si="4"/>
        <v>14</v>
      </c>
      <c r="J57" s="1">
        <f t="shared" si="5"/>
        <v>1.1666666666666667</v>
      </c>
    </row>
    <row r="58" spans="1:21" x14ac:dyDescent="0.2">
      <c r="B58" s="20">
        <v>2098</v>
      </c>
      <c r="C58" s="12"/>
      <c r="D58" s="1">
        <v>12</v>
      </c>
      <c r="E58" s="1"/>
      <c r="F58" s="1">
        <f t="shared" si="3"/>
        <v>12</v>
      </c>
      <c r="G58" s="1">
        <v>7</v>
      </c>
      <c r="H58" s="1"/>
      <c r="I58" s="1">
        <f t="shared" si="4"/>
        <v>7</v>
      </c>
      <c r="J58" s="1">
        <f t="shared" si="5"/>
        <v>0.58333333333333337</v>
      </c>
    </row>
    <row r="59" spans="1:21" x14ac:dyDescent="0.2">
      <c r="B59" s="20">
        <v>2099</v>
      </c>
      <c r="C59" s="12"/>
      <c r="D59" s="1">
        <v>13</v>
      </c>
      <c r="E59" s="1">
        <v>11</v>
      </c>
      <c r="F59" s="1">
        <f t="shared" si="3"/>
        <v>12</v>
      </c>
      <c r="G59" s="1">
        <v>8</v>
      </c>
      <c r="H59" s="1">
        <v>9</v>
      </c>
      <c r="I59" s="1">
        <f t="shared" si="4"/>
        <v>8.5</v>
      </c>
      <c r="J59" s="1">
        <f t="shared" si="5"/>
        <v>0.70833333333333337</v>
      </c>
    </row>
    <row r="60" spans="1:21" x14ac:dyDescent="0.2">
      <c r="B60" s="20">
        <v>2095</v>
      </c>
      <c r="C60" s="12"/>
      <c r="D60" s="1">
        <v>11</v>
      </c>
      <c r="E60" s="1">
        <v>11</v>
      </c>
      <c r="F60" s="1">
        <f t="shared" si="3"/>
        <v>11</v>
      </c>
      <c r="G60" s="1">
        <v>3</v>
      </c>
      <c r="H60" s="1">
        <v>4</v>
      </c>
      <c r="I60" s="1">
        <f t="shared" si="4"/>
        <v>3.5</v>
      </c>
      <c r="J60" s="1">
        <f t="shared" si="5"/>
        <v>0.31818181818181818</v>
      </c>
    </row>
    <row r="61" spans="1:21" x14ac:dyDescent="0.2">
      <c r="B61" s="21">
        <v>2104</v>
      </c>
      <c r="C61" s="12"/>
      <c r="D61" s="1">
        <v>10</v>
      </c>
      <c r="E61" s="1">
        <v>10</v>
      </c>
      <c r="F61" s="1">
        <f t="shared" si="3"/>
        <v>10</v>
      </c>
      <c r="G61" s="1">
        <v>3</v>
      </c>
      <c r="H61" s="1">
        <v>3</v>
      </c>
      <c r="I61" s="1">
        <f t="shared" si="4"/>
        <v>3</v>
      </c>
      <c r="J61" s="1">
        <f t="shared" si="5"/>
        <v>0.3</v>
      </c>
    </row>
    <row r="62" spans="1:21" x14ac:dyDescent="0.2">
      <c r="B62" s="21">
        <v>2016</v>
      </c>
      <c r="C62" s="12"/>
      <c r="D62" s="1">
        <v>11</v>
      </c>
      <c r="E62" s="1">
        <v>9</v>
      </c>
      <c r="F62" s="1">
        <f t="shared" si="3"/>
        <v>10</v>
      </c>
      <c r="G62" s="1">
        <v>7</v>
      </c>
      <c r="H62" s="1">
        <v>6</v>
      </c>
      <c r="I62" s="1">
        <f t="shared" si="4"/>
        <v>6.5</v>
      </c>
      <c r="J62" s="1">
        <f t="shared" si="5"/>
        <v>0.65</v>
      </c>
      <c r="L62" s="1"/>
      <c r="M62" s="1"/>
      <c r="N62" s="1"/>
      <c r="O62" s="1"/>
      <c r="P62" s="1"/>
      <c r="Q62" s="1"/>
      <c r="S62" s="1"/>
      <c r="T62" s="1"/>
      <c r="U62" s="1"/>
    </row>
    <row r="65" spans="1:21" x14ac:dyDescent="0.2">
      <c r="A65" s="1" t="s">
        <v>19</v>
      </c>
      <c r="B65" s="1" t="s">
        <v>20</v>
      </c>
    </row>
    <row r="66" spans="1:21" x14ac:dyDescent="0.2">
      <c r="A66" s="2" t="s">
        <v>21</v>
      </c>
      <c r="L66" s="1"/>
      <c r="M66" s="1"/>
      <c r="N66" s="1" t="s">
        <v>22</v>
      </c>
      <c r="O66" s="1"/>
      <c r="P66" s="1"/>
      <c r="Q66" s="1"/>
      <c r="R66" s="1" t="s">
        <v>23</v>
      </c>
      <c r="S66" s="1"/>
      <c r="T66" s="1"/>
      <c r="U66" s="1"/>
    </row>
    <row r="67" spans="1:21" x14ac:dyDescent="0.2">
      <c r="A67" s="3" t="s">
        <v>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 t="s">
        <v>24</v>
      </c>
      <c r="O67" s="1"/>
      <c r="P67" s="1"/>
      <c r="Q67" s="1"/>
      <c r="R67" s="3" t="s">
        <v>25</v>
      </c>
      <c r="S67" s="1"/>
      <c r="T67" s="1"/>
      <c r="U67" s="1"/>
    </row>
    <row r="68" spans="1:21" x14ac:dyDescent="0.2">
      <c r="A68" s="2" t="s">
        <v>26</v>
      </c>
      <c r="B68" s="4"/>
      <c r="C68" s="4" t="s">
        <v>27</v>
      </c>
      <c r="D68" s="4" t="s">
        <v>28</v>
      </c>
      <c r="E68" s="4" t="s">
        <v>29</v>
      </c>
      <c r="F68" s="4" t="s">
        <v>30</v>
      </c>
      <c r="G68" s="3" t="s">
        <v>31</v>
      </c>
      <c r="H68" s="4" t="s">
        <v>32</v>
      </c>
      <c r="I68" s="4" t="s">
        <v>33</v>
      </c>
      <c r="J68" s="4" t="s">
        <v>34</v>
      </c>
      <c r="K68" s="4" t="s">
        <v>35</v>
      </c>
      <c r="L68" s="4" t="s">
        <v>36</v>
      </c>
      <c r="M68" s="8" t="s">
        <v>37</v>
      </c>
      <c r="N68" s="4" t="s">
        <v>38</v>
      </c>
      <c r="O68" s="4" t="s">
        <v>39</v>
      </c>
      <c r="P68" s="4" t="s">
        <v>40</v>
      </c>
      <c r="Q68" s="8" t="s">
        <v>41</v>
      </c>
      <c r="R68" s="4" t="s">
        <v>38</v>
      </c>
      <c r="S68" s="4" t="s">
        <v>39</v>
      </c>
      <c r="T68" s="4" t="s">
        <v>40</v>
      </c>
      <c r="U68" s="8" t="s">
        <v>42</v>
      </c>
    </row>
    <row r="69" spans="1:21" x14ac:dyDescent="0.2">
      <c r="A69" s="10">
        <v>2090</v>
      </c>
      <c r="B69" s="6" t="s">
        <v>14</v>
      </c>
      <c r="C69" s="1">
        <v>4</v>
      </c>
      <c r="D69" s="1">
        <v>6</v>
      </c>
      <c r="E69" s="1">
        <v>6</v>
      </c>
      <c r="F69" s="1">
        <v>6</v>
      </c>
      <c r="G69" s="1">
        <v>3.5</v>
      </c>
      <c r="H69" s="1">
        <v>1010.7</v>
      </c>
      <c r="I69" s="1">
        <v>1073.7</v>
      </c>
      <c r="J69" s="1">
        <v>1025.4000000000001</v>
      </c>
      <c r="K69" s="1">
        <f>I69-H69</f>
        <v>63</v>
      </c>
      <c r="L69" s="1">
        <f>J69-H69</f>
        <v>14.700000000000045</v>
      </c>
      <c r="M69" s="1">
        <f>(K69-L69)/(K69)*100</f>
        <v>76.6666666666666</v>
      </c>
      <c r="N69" s="13">
        <v>0.37777777777777777</v>
      </c>
      <c r="O69" s="13">
        <v>0.54166666666666663</v>
      </c>
      <c r="P69" s="14">
        <f>O69-N69</f>
        <v>0.16388888888888886</v>
      </c>
      <c r="Q69" s="15">
        <f>P69*1440</f>
        <v>235.99999999999997</v>
      </c>
      <c r="R69" s="14">
        <v>0.43125000000000002</v>
      </c>
      <c r="S69" s="14">
        <v>0.43402777777777779</v>
      </c>
      <c r="T69" s="14">
        <f>S69-R69</f>
        <v>2.7777777777777679E-3</v>
      </c>
      <c r="U69" s="15">
        <f>T69*1440</f>
        <v>3.9999999999999858</v>
      </c>
    </row>
    <row r="70" spans="1:21" x14ac:dyDescent="0.2">
      <c r="A70" s="10">
        <v>2086</v>
      </c>
      <c r="B70" s="7"/>
      <c r="C70" s="1">
        <v>11</v>
      </c>
      <c r="D70" s="1">
        <v>11</v>
      </c>
      <c r="E70" s="1">
        <v>12</v>
      </c>
      <c r="F70" s="1">
        <v>12</v>
      </c>
      <c r="G70" s="1">
        <v>3</v>
      </c>
      <c r="H70" s="1">
        <v>1027.5999999999999</v>
      </c>
      <c r="I70" s="1">
        <v>1084.5</v>
      </c>
      <c r="J70" s="1">
        <v>1049</v>
      </c>
      <c r="K70" s="1">
        <f t="shared" ref="K70:K93" si="6">I70-H70</f>
        <v>56.900000000000091</v>
      </c>
      <c r="L70" s="1">
        <f t="shared" ref="L70:L93" si="7">J70-H70</f>
        <v>21.400000000000091</v>
      </c>
      <c r="M70" s="1">
        <f t="shared" ref="M70:M93" si="8">(K70-L70)/(K70)*100</f>
        <v>62.390158172231892</v>
      </c>
      <c r="N70" s="13">
        <v>0.37777777777777777</v>
      </c>
      <c r="O70" s="13">
        <v>0.54166666666666663</v>
      </c>
      <c r="P70" s="14">
        <f t="shared" ref="P70:P93" si="9">O70-N70</f>
        <v>0.16388888888888886</v>
      </c>
      <c r="Q70" s="15">
        <f t="shared" ref="Q70:Q93" si="10">P70*1440</f>
        <v>235.99999999999997</v>
      </c>
      <c r="R70" s="14">
        <v>0.43333333333333335</v>
      </c>
      <c r="S70" s="14">
        <v>0.44166666666666665</v>
      </c>
      <c r="T70" s="14">
        <f t="shared" ref="T70:T93" si="11">S70-R70</f>
        <v>8.3333333333333037E-3</v>
      </c>
      <c r="U70" s="15">
        <f t="shared" ref="U70:U93" si="12">T70*1440</f>
        <v>11.999999999999957</v>
      </c>
    </row>
    <row r="71" spans="1:21" x14ac:dyDescent="0.2">
      <c r="A71" s="10">
        <v>2087</v>
      </c>
      <c r="B71" s="7"/>
      <c r="C71" s="1">
        <v>10</v>
      </c>
      <c r="D71" s="1">
        <v>13</v>
      </c>
      <c r="E71" s="1">
        <v>13</v>
      </c>
      <c r="F71" s="1">
        <v>13</v>
      </c>
      <c r="G71" s="1">
        <v>3.5</v>
      </c>
      <c r="H71" s="1">
        <v>1016.9</v>
      </c>
      <c r="I71" s="1">
        <v>1067</v>
      </c>
      <c r="J71" s="1">
        <v>1039.7</v>
      </c>
      <c r="K71" s="1">
        <f t="shared" si="6"/>
        <v>50.100000000000023</v>
      </c>
      <c r="L71" s="1">
        <f t="shared" si="7"/>
        <v>22.800000000000068</v>
      </c>
      <c r="M71" s="1">
        <f t="shared" si="8"/>
        <v>54.491017964071744</v>
      </c>
      <c r="N71" s="13">
        <v>0.37777777777777777</v>
      </c>
      <c r="O71" s="13">
        <v>0.59722222222222221</v>
      </c>
      <c r="P71" s="14">
        <f t="shared" si="9"/>
        <v>0.21944444444444444</v>
      </c>
      <c r="Q71" s="15">
        <f t="shared" si="10"/>
        <v>316</v>
      </c>
      <c r="R71" s="14">
        <v>0.43541666666666667</v>
      </c>
      <c r="S71" s="14">
        <v>0.44583333333333336</v>
      </c>
      <c r="T71" s="14">
        <f t="shared" si="11"/>
        <v>1.0416666666666685E-2</v>
      </c>
      <c r="U71" s="15">
        <f t="shared" si="12"/>
        <v>15.000000000000027</v>
      </c>
    </row>
    <row r="72" spans="1:21" x14ac:dyDescent="0.2">
      <c r="A72" s="10">
        <v>2093</v>
      </c>
      <c r="B72" s="7"/>
      <c r="C72" s="1">
        <v>5</v>
      </c>
      <c r="D72" s="1">
        <v>6</v>
      </c>
      <c r="E72" s="1">
        <v>6</v>
      </c>
      <c r="F72" s="1">
        <v>6</v>
      </c>
      <c r="G72" s="1">
        <v>3</v>
      </c>
      <c r="H72" s="1">
        <v>1021.6</v>
      </c>
      <c r="I72" s="1">
        <v>1034.5</v>
      </c>
      <c r="J72" s="1">
        <v>1023.9</v>
      </c>
      <c r="K72" s="1">
        <f t="shared" si="6"/>
        <v>12.899999999999977</v>
      </c>
      <c r="L72" s="1">
        <f t="shared" si="7"/>
        <v>2.2999999999999545</v>
      </c>
      <c r="M72" s="1">
        <f t="shared" si="8"/>
        <v>82.170542635659245</v>
      </c>
      <c r="N72" s="13">
        <v>0.37777777777777777</v>
      </c>
      <c r="O72" s="13">
        <v>0.5625</v>
      </c>
      <c r="P72" s="14">
        <f t="shared" si="9"/>
        <v>0.18472222222222223</v>
      </c>
      <c r="Q72" s="15">
        <f t="shared" si="10"/>
        <v>266</v>
      </c>
      <c r="R72" s="14">
        <v>0.4375</v>
      </c>
      <c r="S72" s="14">
        <v>0.44166666666666665</v>
      </c>
      <c r="T72" s="14">
        <f t="shared" si="11"/>
        <v>4.1666666666666519E-3</v>
      </c>
      <c r="U72" s="15">
        <f t="shared" si="12"/>
        <v>5.9999999999999787</v>
      </c>
    </row>
    <row r="73" spans="1:21" x14ac:dyDescent="0.2">
      <c r="A73" s="10">
        <v>2094</v>
      </c>
      <c r="B73" s="7"/>
      <c r="C73" s="1">
        <v>7</v>
      </c>
      <c r="D73" s="1">
        <v>9</v>
      </c>
      <c r="E73" s="1">
        <v>9</v>
      </c>
      <c r="F73" s="1">
        <v>9</v>
      </c>
      <c r="G73" s="1">
        <v>3</v>
      </c>
      <c r="H73" s="1">
        <v>997</v>
      </c>
      <c r="I73" s="1">
        <v>1053.8</v>
      </c>
      <c r="J73" s="1">
        <v>1022.6</v>
      </c>
      <c r="K73" s="1">
        <f t="shared" si="6"/>
        <v>56.799999999999955</v>
      </c>
      <c r="L73" s="1">
        <f t="shared" si="7"/>
        <v>25.600000000000023</v>
      </c>
      <c r="M73" s="1">
        <f t="shared" si="8"/>
        <v>54.929577464788657</v>
      </c>
      <c r="N73" s="13">
        <v>0.37777777777777777</v>
      </c>
      <c r="O73" s="13">
        <v>0.5625</v>
      </c>
      <c r="P73" s="14">
        <f t="shared" si="9"/>
        <v>0.18472222222222223</v>
      </c>
      <c r="Q73" s="15">
        <f t="shared" si="10"/>
        <v>266</v>
      </c>
      <c r="R73" s="14">
        <v>0.43958333333333333</v>
      </c>
      <c r="S73" s="14">
        <v>0.44722222222222224</v>
      </c>
      <c r="T73" s="14">
        <f t="shared" si="11"/>
        <v>7.6388888888889173E-3</v>
      </c>
      <c r="U73" s="15">
        <f t="shared" si="12"/>
        <v>11.000000000000041</v>
      </c>
    </row>
    <row r="74" spans="1:21" x14ac:dyDescent="0.2">
      <c r="A74" s="11">
        <v>2101</v>
      </c>
      <c r="B74" s="7"/>
      <c r="C74" s="1">
        <v>8</v>
      </c>
      <c r="D74" s="1">
        <v>10</v>
      </c>
      <c r="E74" s="1">
        <v>10</v>
      </c>
      <c r="F74" s="1">
        <v>10</v>
      </c>
      <c r="G74" s="1">
        <v>3.5</v>
      </c>
      <c r="H74" s="1">
        <v>1006.4</v>
      </c>
      <c r="I74" s="1">
        <v>1058.2</v>
      </c>
      <c r="J74" s="1">
        <v>1017.4</v>
      </c>
      <c r="K74" s="1">
        <f t="shared" si="6"/>
        <v>51.800000000000068</v>
      </c>
      <c r="L74" s="1">
        <f t="shared" si="7"/>
        <v>11</v>
      </c>
      <c r="M74" s="1">
        <f t="shared" si="8"/>
        <v>78.764478764478795</v>
      </c>
      <c r="N74" s="13">
        <v>0.37777777777777777</v>
      </c>
      <c r="O74" s="13">
        <v>0.5625</v>
      </c>
      <c r="P74" s="14">
        <f t="shared" si="9"/>
        <v>0.18472222222222223</v>
      </c>
      <c r="Q74" s="15">
        <f t="shared" si="10"/>
        <v>266</v>
      </c>
      <c r="R74" s="14">
        <v>0.44236111111111109</v>
      </c>
      <c r="S74" s="14">
        <v>0.45624999999999999</v>
      </c>
      <c r="T74" s="14">
        <f t="shared" si="11"/>
        <v>1.3888888888888895E-2</v>
      </c>
      <c r="U74" s="15">
        <f t="shared" si="12"/>
        <v>20.000000000000007</v>
      </c>
    </row>
    <row r="75" spans="1:21" x14ac:dyDescent="0.2">
      <c r="A75" s="11">
        <v>2102</v>
      </c>
      <c r="B75" s="7"/>
      <c r="C75" s="1">
        <v>11</v>
      </c>
      <c r="D75" s="1">
        <v>11</v>
      </c>
      <c r="E75" s="1">
        <v>11</v>
      </c>
      <c r="F75" s="1">
        <v>11</v>
      </c>
      <c r="G75" s="1">
        <v>3.5</v>
      </c>
      <c r="H75" s="1">
        <v>1024.7</v>
      </c>
      <c r="I75" s="1">
        <v>1058.2</v>
      </c>
      <c r="J75" s="1">
        <v>1039</v>
      </c>
      <c r="K75" s="1">
        <f t="shared" si="6"/>
        <v>33.5</v>
      </c>
      <c r="L75" s="1">
        <f t="shared" si="7"/>
        <v>14.299999999999955</v>
      </c>
      <c r="M75" s="1">
        <f t="shared" si="8"/>
        <v>57.313432835821033</v>
      </c>
      <c r="N75" s="13">
        <v>0.37777777777777777</v>
      </c>
      <c r="O75" s="13">
        <v>0.57291666666666663</v>
      </c>
      <c r="P75" s="14">
        <f t="shared" si="9"/>
        <v>0.19513888888888886</v>
      </c>
      <c r="Q75" s="15">
        <f t="shared" si="10"/>
        <v>280.99999999999994</v>
      </c>
      <c r="R75" s="14">
        <v>0.44444444444444442</v>
      </c>
      <c r="S75" s="14">
        <v>0.45208333333333334</v>
      </c>
      <c r="T75" s="14">
        <f t="shared" si="11"/>
        <v>7.6388888888889173E-3</v>
      </c>
      <c r="U75" s="15">
        <f t="shared" si="12"/>
        <v>11.000000000000041</v>
      </c>
    </row>
    <row r="76" spans="1:21" x14ac:dyDescent="0.2">
      <c r="A76" s="11">
        <v>2103</v>
      </c>
      <c r="B76" s="7"/>
      <c r="C76" s="1">
        <v>10</v>
      </c>
      <c r="D76" s="1">
        <v>11</v>
      </c>
      <c r="E76" s="1">
        <v>11</v>
      </c>
      <c r="F76" s="1">
        <v>11</v>
      </c>
      <c r="G76" s="1">
        <v>3</v>
      </c>
      <c r="H76" s="1">
        <v>1028.3</v>
      </c>
      <c r="I76" s="1">
        <v>1054.4000000000001</v>
      </c>
      <c r="J76" s="1">
        <v>1042.0999999999999</v>
      </c>
      <c r="K76" s="1">
        <f t="shared" si="6"/>
        <v>26.100000000000136</v>
      </c>
      <c r="L76" s="1">
        <f t="shared" si="7"/>
        <v>13.799999999999955</v>
      </c>
      <c r="M76" s="1">
        <f t="shared" si="8"/>
        <v>47.126436781609648</v>
      </c>
      <c r="N76" s="13">
        <v>0.37777777777777777</v>
      </c>
      <c r="O76" s="13">
        <v>0.57291666666666663</v>
      </c>
      <c r="P76" s="14">
        <f t="shared" si="9"/>
        <v>0.19513888888888886</v>
      </c>
      <c r="Q76" s="15">
        <f t="shared" si="10"/>
        <v>280.99999999999994</v>
      </c>
      <c r="R76" s="14">
        <v>0.4465277777777778</v>
      </c>
      <c r="S76" s="14">
        <v>0.45416666666666666</v>
      </c>
      <c r="T76" s="14">
        <f t="shared" si="11"/>
        <v>7.6388888888888618E-3</v>
      </c>
      <c r="U76" s="15">
        <f t="shared" si="12"/>
        <v>10.999999999999961</v>
      </c>
    </row>
    <row r="77" spans="1:21" x14ac:dyDescent="0.2">
      <c r="A77" s="11">
        <v>2097</v>
      </c>
      <c r="B77" s="7"/>
      <c r="C77" s="1">
        <v>8</v>
      </c>
      <c r="D77" s="1">
        <v>8</v>
      </c>
      <c r="E77" s="1">
        <v>8</v>
      </c>
      <c r="F77" s="1">
        <v>8</v>
      </c>
      <c r="G77" s="1">
        <v>3.5</v>
      </c>
      <c r="H77" s="1">
        <v>1028.3</v>
      </c>
      <c r="I77" s="17">
        <v>1067.8</v>
      </c>
      <c r="J77" s="17">
        <v>1039.8</v>
      </c>
      <c r="K77" s="1">
        <f t="shared" si="6"/>
        <v>39.5</v>
      </c>
      <c r="L77" s="1">
        <f t="shared" si="7"/>
        <v>11.5</v>
      </c>
      <c r="M77" s="1">
        <f t="shared" si="8"/>
        <v>70.886075949367083</v>
      </c>
      <c r="N77" s="13">
        <v>0.37777777777777777</v>
      </c>
      <c r="O77" s="16">
        <v>0.58333333333333337</v>
      </c>
      <c r="P77" s="14">
        <f t="shared" si="9"/>
        <v>0.2055555555555556</v>
      </c>
      <c r="Q77" s="15">
        <f t="shared" si="10"/>
        <v>296.00000000000006</v>
      </c>
      <c r="R77" s="14">
        <v>0.44791666666666669</v>
      </c>
      <c r="S77" s="14">
        <v>0.46805555555555556</v>
      </c>
      <c r="T77" s="14">
        <f t="shared" si="11"/>
        <v>2.0138888888888873E-2</v>
      </c>
      <c r="U77" s="15">
        <f t="shared" si="12"/>
        <v>28.999999999999979</v>
      </c>
    </row>
    <row r="78" spans="1:21" x14ac:dyDescent="0.2">
      <c r="A78" s="10">
        <v>2074</v>
      </c>
      <c r="B78" s="9" t="s">
        <v>15</v>
      </c>
      <c r="C78" s="1">
        <v>1</v>
      </c>
      <c r="D78" s="1">
        <v>6</v>
      </c>
      <c r="E78" s="1">
        <v>6</v>
      </c>
      <c r="F78" s="1">
        <v>7</v>
      </c>
      <c r="G78" s="1">
        <v>2</v>
      </c>
      <c r="H78" s="1">
        <v>999.2</v>
      </c>
      <c r="I78" s="1">
        <v>1017.9</v>
      </c>
      <c r="J78" s="1">
        <v>1009.6</v>
      </c>
      <c r="K78" s="1">
        <f t="shared" si="6"/>
        <v>18.699999999999932</v>
      </c>
      <c r="L78" s="1">
        <f t="shared" si="7"/>
        <v>10.399999999999977</v>
      </c>
      <c r="M78" s="1">
        <f t="shared" si="8"/>
        <v>44.385026737967834</v>
      </c>
      <c r="N78" s="13">
        <v>0.38124999999999998</v>
      </c>
      <c r="O78" s="14">
        <v>0.58333333333333337</v>
      </c>
      <c r="P78" s="14">
        <f t="shared" si="9"/>
        <v>0.20208333333333339</v>
      </c>
      <c r="Q78" s="15">
        <f t="shared" si="10"/>
        <v>291.00000000000011</v>
      </c>
      <c r="R78" s="14">
        <v>0.40069444444444446</v>
      </c>
      <c r="S78" s="14">
        <v>0.41388888888888886</v>
      </c>
      <c r="T78" s="14">
        <f t="shared" si="11"/>
        <v>1.3194444444444398E-2</v>
      </c>
      <c r="U78" s="15">
        <f t="shared" si="12"/>
        <v>18.999999999999932</v>
      </c>
    </row>
    <row r="79" spans="1:21" x14ac:dyDescent="0.2">
      <c r="A79" s="10">
        <v>2075</v>
      </c>
      <c r="B79" s="9"/>
      <c r="C79" s="17">
        <v>0</v>
      </c>
      <c r="D79" s="17">
        <v>2</v>
      </c>
      <c r="E79" s="17">
        <v>2</v>
      </c>
      <c r="F79" s="17">
        <v>2</v>
      </c>
      <c r="G79" s="17">
        <v>2.5</v>
      </c>
      <c r="H79" s="1">
        <v>1025.3</v>
      </c>
      <c r="I79" s="1">
        <v>1049.7</v>
      </c>
      <c r="J79" s="1">
        <v>1038.9000000000001</v>
      </c>
      <c r="K79" s="1">
        <f t="shared" si="6"/>
        <v>24.400000000000091</v>
      </c>
      <c r="L79" s="1">
        <f t="shared" si="7"/>
        <v>13.600000000000136</v>
      </c>
      <c r="M79" s="1">
        <f t="shared" si="8"/>
        <v>44.262295081966862</v>
      </c>
      <c r="N79" s="13">
        <v>0.38124999999999998</v>
      </c>
      <c r="O79" s="13">
        <v>0.64583333333333337</v>
      </c>
      <c r="P79" s="14">
        <f t="shared" si="9"/>
        <v>0.26458333333333339</v>
      </c>
      <c r="Q79" s="15">
        <f t="shared" si="10"/>
        <v>381.00000000000011</v>
      </c>
      <c r="R79" s="18">
        <v>0.40347222222222223</v>
      </c>
      <c r="S79" s="18">
        <v>0.42569444444444443</v>
      </c>
      <c r="T79" s="14">
        <f t="shared" si="11"/>
        <v>2.2222222222222199E-2</v>
      </c>
      <c r="U79" s="15">
        <f t="shared" si="12"/>
        <v>31.999999999999964</v>
      </c>
    </row>
    <row r="80" spans="1:21" x14ac:dyDescent="0.2">
      <c r="A80" s="10">
        <v>2076</v>
      </c>
      <c r="B80" s="9"/>
      <c r="C80" s="1">
        <v>3</v>
      </c>
      <c r="D80" s="1">
        <v>5</v>
      </c>
      <c r="E80" s="1">
        <v>10</v>
      </c>
      <c r="F80" s="1">
        <v>10</v>
      </c>
      <c r="G80" s="1">
        <v>3.5</v>
      </c>
      <c r="H80" s="1">
        <v>1022.5</v>
      </c>
      <c r="I80" s="1">
        <v>1044.5999999999999</v>
      </c>
      <c r="J80" s="1">
        <v>1031.3</v>
      </c>
      <c r="K80" s="1">
        <f t="shared" si="6"/>
        <v>22.099999999999909</v>
      </c>
      <c r="L80" s="1">
        <f t="shared" si="7"/>
        <v>8.7999999999999545</v>
      </c>
      <c r="M80" s="1">
        <f t="shared" si="8"/>
        <v>60.180995475113164</v>
      </c>
      <c r="N80" s="13">
        <v>0.38124999999999998</v>
      </c>
      <c r="O80" s="13">
        <v>0.64583333333333337</v>
      </c>
      <c r="P80" s="14">
        <f t="shared" si="9"/>
        <v>0.26458333333333339</v>
      </c>
      <c r="Q80" s="15">
        <f t="shared" si="10"/>
        <v>381.00000000000011</v>
      </c>
      <c r="R80" s="14">
        <v>0.40555555555555556</v>
      </c>
      <c r="S80" s="14">
        <v>0.42083333333333334</v>
      </c>
      <c r="T80" s="14">
        <f t="shared" si="11"/>
        <v>1.5277777777777779E-2</v>
      </c>
      <c r="U80" s="15">
        <f t="shared" si="12"/>
        <v>22</v>
      </c>
    </row>
    <row r="81" spans="1:21" x14ac:dyDescent="0.2">
      <c r="A81" s="10">
        <v>2096</v>
      </c>
      <c r="B81" s="9"/>
      <c r="C81" s="1">
        <v>0</v>
      </c>
      <c r="D81" s="1">
        <v>5</v>
      </c>
      <c r="E81" s="1">
        <v>5</v>
      </c>
      <c r="F81" s="1">
        <v>5</v>
      </c>
      <c r="G81" s="1">
        <v>3</v>
      </c>
      <c r="H81" s="1">
        <v>1026.4000000000001</v>
      </c>
      <c r="I81" s="1">
        <v>1048.4000000000001</v>
      </c>
      <c r="J81" s="1">
        <v>1042.3</v>
      </c>
      <c r="K81" s="1">
        <f t="shared" si="6"/>
        <v>22</v>
      </c>
      <c r="L81" s="1">
        <f t="shared" si="7"/>
        <v>15.899999999999864</v>
      </c>
      <c r="M81" s="1">
        <f t="shared" si="8"/>
        <v>27.727272727273348</v>
      </c>
      <c r="N81" s="13">
        <v>0.38124999999999998</v>
      </c>
      <c r="O81" s="13" t="s">
        <v>46</v>
      </c>
      <c r="P81" s="14">
        <v>0.33333333333333331</v>
      </c>
      <c r="Q81" s="15">
        <f t="shared" si="10"/>
        <v>480</v>
      </c>
      <c r="R81" s="14">
        <v>0.40763888888888888</v>
      </c>
      <c r="S81" s="14">
        <v>0.41111111111111109</v>
      </c>
      <c r="T81" s="14">
        <f t="shared" si="11"/>
        <v>3.4722222222222099E-3</v>
      </c>
      <c r="U81" s="15">
        <f t="shared" si="12"/>
        <v>4.9999999999999822</v>
      </c>
    </row>
    <row r="82" spans="1:21" x14ac:dyDescent="0.2">
      <c r="A82" s="11">
        <v>2085</v>
      </c>
      <c r="B82" s="9"/>
      <c r="C82" s="1">
        <v>6</v>
      </c>
      <c r="D82" s="1">
        <v>7</v>
      </c>
      <c r="E82" s="1">
        <v>10</v>
      </c>
      <c r="F82" s="1">
        <v>10</v>
      </c>
      <c r="G82" s="1">
        <v>2.5</v>
      </c>
      <c r="H82" s="1">
        <v>997.2</v>
      </c>
      <c r="I82" s="1">
        <v>1022.7</v>
      </c>
      <c r="J82" s="1">
        <v>1013.2</v>
      </c>
      <c r="K82" s="1">
        <f t="shared" si="6"/>
        <v>25.5</v>
      </c>
      <c r="L82" s="1">
        <f t="shared" si="7"/>
        <v>16</v>
      </c>
      <c r="M82" s="1">
        <f t="shared" si="8"/>
        <v>37.254901960784316</v>
      </c>
      <c r="N82" s="13">
        <v>0.38124999999999998</v>
      </c>
      <c r="O82" s="13">
        <v>0.58333333333333337</v>
      </c>
      <c r="P82" s="14">
        <f t="shared" si="9"/>
        <v>0.20208333333333339</v>
      </c>
      <c r="Q82" s="15">
        <f t="shared" si="10"/>
        <v>291.00000000000011</v>
      </c>
      <c r="R82" s="14">
        <v>0.40972222222222221</v>
      </c>
      <c r="S82" s="14">
        <v>0.41319444444444442</v>
      </c>
      <c r="T82" s="14">
        <f t="shared" si="11"/>
        <v>3.4722222222222099E-3</v>
      </c>
      <c r="U82" s="15">
        <f t="shared" si="12"/>
        <v>4.9999999999999822</v>
      </c>
    </row>
    <row r="83" spans="1:21" x14ac:dyDescent="0.2">
      <c r="A83" s="11">
        <v>2088</v>
      </c>
      <c r="B83" s="9"/>
      <c r="C83" s="1">
        <v>7</v>
      </c>
      <c r="D83" s="1">
        <v>10</v>
      </c>
      <c r="E83" s="1">
        <v>11</v>
      </c>
      <c r="F83" s="1">
        <v>13</v>
      </c>
      <c r="G83" s="1">
        <v>3.5</v>
      </c>
      <c r="H83" s="1">
        <v>1017.2</v>
      </c>
      <c r="I83" s="1">
        <v>1036.5</v>
      </c>
      <c r="J83" s="1">
        <v>1028.5</v>
      </c>
      <c r="K83" s="1">
        <f t="shared" si="6"/>
        <v>19.299999999999955</v>
      </c>
      <c r="L83" s="1">
        <f t="shared" si="7"/>
        <v>11.299999999999955</v>
      </c>
      <c r="M83" s="1">
        <f t="shared" si="8"/>
        <v>41.450777202072636</v>
      </c>
      <c r="N83" s="13">
        <v>0.38124999999999998</v>
      </c>
      <c r="O83" s="13">
        <v>0.58333333333333337</v>
      </c>
      <c r="P83" s="14">
        <f t="shared" si="9"/>
        <v>0.20208333333333339</v>
      </c>
      <c r="Q83" s="15">
        <f t="shared" si="10"/>
        <v>291.00000000000011</v>
      </c>
      <c r="R83" s="14">
        <v>0.41180555555555554</v>
      </c>
      <c r="S83" s="14">
        <v>0.41319444444444442</v>
      </c>
      <c r="T83" s="14">
        <f t="shared" si="11"/>
        <v>1.388888888888884E-3</v>
      </c>
      <c r="U83" s="15">
        <f t="shared" si="12"/>
        <v>1.9999999999999929</v>
      </c>
    </row>
    <row r="84" spans="1:21" x14ac:dyDescent="0.2">
      <c r="A84" s="20">
        <v>2089</v>
      </c>
      <c r="B84" s="9"/>
      <c r="C84" s="1">
        <v>7</v>
      </c>
      <c r="D84" s="1">
        <v>7</v>
      </c>
      <c r="E84" s="1">
        <v>9</v>
      </c>
      <c r="F84" s="1">
        <v>12</v>
      </c>
      <c r="G84" s="1">
        <v>4.5</v>
      </c>
      <c r="H84" s="1">
        <v>1008.9</v>
      </c>
      <c r="I84" s="1">
        <v>1044.0999999999999</v>
      </c>
      <c r="J84" s="1">
        <v>1023.1</v>
      </c>
      <c r="K84" s="1">
        <f t="shared" si="6"/>
        <v>35.199999999999932</v>
      </c>
      <c r="L84" s="1">
        <f t="shared" si="7"/>
        <v>14.200000000000045</v>
      </c>
      <c r="M84" s="1">
        <f t="shared" si="8"/>
        <v>59.659090909090708</v>
      </c>
      <c r="N84" s="13">
        <v>0.38124999999999998</v>
      </c>
      <c r="O84" s="14">
        <v>0.625</v>
      </c>
      <c r="P84" s="14">
        <f t="shared" si="9"/>
        <v>0.24375000000000002</v>
      </c>
      <c r="Q84" s="15">
        <f t="shared" si="10"/>
        <v>351.00000000000006</v>
      </c>
      <c r="R84" s="14">
        <v>0.41319444444444442</v>
      </c>
      <c r="S84" s="14">
        <v>0.42291666666666666</v>
      </c>
      <c r="T84" s="14">
        <f t="shared" si="11"/>
        <v>9.7222222222222432E-3</v>
      </c>
      <c r="U84" s="15">
        <f t="shared" si="12"/>
        <v>14.00000000000003</v>
      </c>
    </row>
    <row r="85" spans="1:21" x14ac:dyDescent="0.2">
      <c r="A85" s="20">
        <v>2092</v>
      </c>
      <c r="B85" s="9"/>
      <c r="C85" s="1">
        <v>7</v>
      </c>
      <c r="D85" s="1">
        <v>9</v>
      </c>
      <c r="E85" s="1">
        <v>9</v>
      </c>
      <c r="F85" s="1">
        <v>10</v>
      </c>
      <c r="G85" s="1">
        <v>3</v>
      </c>
      <c r="H85" s="1">
        <v>1020.2</v>
      </c>
      <c r="I85" s="1">
        <v>1048.8</v>
      </c>
      <c r="J85" s="1">
        <v>1035.0999999999999</v>
      </c>
      <c r="K85" s="1">
        <f t="shared" si="6"/>
        <v>28.599999999999909</v>
      </c>
      <c r="L85" s="1">
        <f t="shared" si="7"/>
        <v>14.899999999999864</v>
      </c>
      <c r="M85" s="1">
        <f t="shared" si="8"/>
        <v>47.902097902098213</v>
      </c>
      <c r="N85" s="13">
        <v>0.38124999999999998</v>
      </c>
      <c r="O85" s="25">
        <v>0.625</v>
      </c>
      <c r="P85" s="14">
        <f t="shared" si="9"/>
        <v>0.24375000000000002</v>
      </c>
      <c r="Q85" s="15">
        <f t="shared" si="10"/>
        <v>351.00000000000006</v>
      </c>
      <c r="R85" s="25">
        <v>0.4152777777777778</v>
      </c>
      <c r="S85" s="25">
        <v>0.42708333333333331</v>
      </c>
      <c r="T85" s="14">
        <f t="shared" si="11"/>
        <v>1.1805555555555514E-2</v>
      </c>
      <c r="U85" s="15">
        <f t="shared" si="12"/>
        <v>16.99999999999994</v>
      </c>
    </row>
    <row r="86" spans="1:21" x14ac:dyDescent="0.2">
      <c r="A86" s="21">
        <v>2077</v>
      </c>
      <c r="B86" s="12" t="s">
        <v>44</v>
      </c>
      <c r="C86" s="1">
        <v>5</v>
      </c>
      <c r="D86" s="1">
        <v>8</v>
      </c>
      <c r="E86" s="1">
        <v>8</v>
      </c>
      <c r="F86" s="1">
        <v>8</v>
      </c>
      <c r="G86" s="1">
        <v>3.5</v>
      </c>
      <c r="H86" s="1">
        <v>1010.4</v>
      </c>
      <c r="I86" s="1">
        <v>1053.9000000000001</v>
      </c>
      <c r="J86" s="1">
        <v>1026.9000000000001</v>
      </c>
      <c r="K86" s="1">
        <f t="shared" si="6"/>
        <v>43.500000000000114</v>
      </c>
      <c r="L86" s="1">
        <f t="shared" si="7"/>
        <v>16.500000000000114</v>
      </c>
      <c r="M86" s="1">
        <f t="shared" si="8"/>
        <v>62.068965517241217</v>
      </c>
      <c r="N86" s="25">
        <v>0.38333333333333336</v>
      </c>
      <c r="O86" s="25">
        <v>0.625</v>
      </c>
      <c r="P86" s="14">
        <f t="shared" si="9"/>
        <v>0.24166666666666664</v>
      </c>
      <c r="Q86" s="15">
        <f t="shared" si="10"/>
        <v>347.99999999999994</v>
      </c>
      <c r="R86" s="25">
        <v>0.41805555555555557</v>
      </c>
      <c r="S86" s="25">
        <v>0.43125000000000002</v>
      </c>
      <c r="T86" s="14">
        <f t="shared" si="11"/>
        <v>1.3194444444444453E-2</v>
      </c>
      <c r="U86" s="15">
        <f t="shared" si="12"/>
        <v>19.000000000000014</v>
      </c>
    </row>
    <row r="87" spans="1:21" x14ac:dyDescent="0.2">
      <c r="A87" s="21">
        <v>2078</v>
      </c>
      <c r="B87" s="12"/>
      <c r="C87" s="1">
        <v>3</v>
      </c>
      <c r="D87" s="1">
        <v>6</v>
      </c>
      <c r="E87" s="1">
        <v>6</v>
      </c>
      <c r="F87" s="1">
        <v>6</v>
      </c>
      <c r="G87" s="1">
        <v>3.5</v>
      </c>
      <c r="H87" s="1">
        <v>1003.6</v>
      </c>
      <c r="I87" s="1">
        <v>1036.7</v>
      </c>
      <c r="J87" s="1">
        <v>1019.4</v>
      </c>
      <c r="K87" s="1">
        <f t="shared" si="6"/>
        <v>33.100000000000023</v>
      </c>
      <c r="L87" s="1">
        <f t="shared" si="7"/>
        <v>15.799999999999955</v>
      </c>
      <c r="M87" s="1">
        <f t="shared" si="8"/>
        <v>52.26586102719051</v>
      </c>
      <c r="N87" s="25">
        <v>0.38333333333333336</v>
      </c>
      <c r="O87" t="s">
        <v>46</v>
      </c>
      <c r="P87" s="14">
        <v>0.33333333333333331</v>
      </c>
      <c r="Q87" s="15">
        <f t="shared" si="10"/>
        <v>480</v>
      </c>
      <c r="R87" s="25">
        <v>0.41944444444444445</v>
      </c>
      <c r="S87" s="25">
        <v>0.43680555555555556</v>
      </c>
      <c r="T87" s="14">
        <f t="shared" si="11"/>
        <v>1.7361111111111105E-2</v>
      </c>
      <c r="U87" s="15">
        <f t="shared" si="12"/>
        <v>24.999999999999993</v>
      </c>
    </row>
    <row r="88" spans="1:21" x14ac:dyDescent="0.2">
      <c r="A88" s="22">
        <v>2081</v>
      </c>
      <c r="B88" s="12"/>
      <c r="C88" s="1">
        <v>6</v>
      </c>
      <c r="D88" s="1">
        <v>7</v>
      </c>
      <c r="E88" s="1">
        <v>8</v>
      </c>
      <c r="F88" s="1">
        <v>13</v>
      </c>
      <c r="G88" s="1">
        <v>3.5</v>
      </c>
      <c r="H88" s="1">
        <v>1007</v>
      </c>
      <c r="I88" s="1">
        <v>1045.5999999999999</v>
      </c>
      <c r="J88" s="1">
        <v>1026.5999999999999</v>
      </c>
      <c r="K88" s="1">
        <f t="shared" si="6"/>
        <v>38.599999999999909</v>
      </c>
      <c r="L88" s="1">
        <f t="shared" si="7"/>
        <v>19.599999999999909</v>
      </c>
      <c r="M88" s="1">
        <f t="shared" si="8"/>
        <v>49.222797927461251</v>
      </c>
      <c r="N88" s="25">
        <v>0.38333333333333336</v>
      </c>
      <c r="O88" s="25">
        <v>0.59375</v>
      </c>
      <c r="P88" s="14">
        <f t="shared" si="9"/>
        <v>0.21041666666666664</v>
      </c>
      <c r="Q88" s="15">
        <f t="shared" si="10"/>
        <v>302.99999999999994</v>
      </c>
      <c r="R88" s="25">
        <v>0.42152777777777778</v>
      </c>
      <c r="S88" s="25">
        <v>0.43333333333333335</v>
      </c>
      <c r="T88" s="14">
        <f t="shared" si="11"/>
        <v>1.1805555555555569E-2</v>
      </c>
      <c r="U88" s="15">
        <f t="shared" si="12"/>
        <v>17.000000000000021</v>
      </c>
    </row>
    <row r="89" spans="1:21" x14ac:dyDescent="0.2">
      <c r="A89" s="20">
        <v>2098</v>
      </c>
      <c r="B89" s="12"/>
      <c r="C89" s="24" t="s">
        <v>45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x14ac:dyDescent="0.2">
      <c r="A90" s="20">
        <v>2099</v>
      </c>
      <c r="B90" s="12"/>
      <c r="C90" s="1">
        <v>3</v>
      </c>
      <c r="D90" s="1">
        <v>8</v>
      </c>
      <c r="E90" s="1">
        <v>9</v>
      </c>
      <c r="F90" s="1">
        <v>13</v>
      </c>
      <c r="G90" s="1">
        <v>3.5</v>
      </c>
      <c r="H90" s="1">
        <v>996.7</v>
      </c>
      <c r="I90" s="1">
        <v>1041.8</v>
      </c>
      <c r="J90" s="1">
        <v>1018.6</v>
      </c>
      <c r="K90" s="1">
        <f t="shared" si="6"/>
        <v>45.099999999999909</v>
      </c>
      <c r="L90" s="1">
        <f t="shared" si="7"/>
        <v>21.899999999999977</v>
      </c>
      <c r="M90" s="1">
        <f t="shared" si="8"/>
        <v>51.441241685144078</v>
      </c>
      <c r="N90" s="25">
        <v>0.38333333333333336</v>
      </c>
      <c r="O90" s="25">
        <v>0.59375</v>
      </c>
      <c r="P90" s="14">
        <f t="shared" si="9"/>
        <v>0.21041666666666664</v>
      </c>
      <c r="Q90" s="15">
        <f t="shared" si="10"/>
        <v>302.99999999999994</v>
      </c>
      <c r="R90" s="25">
        <v>0.4236111111111111</v>
      </c>
      <c r="S90" s="25">
        <v>0.43819444444444444</v>
      </c>
      <c r="T90" s="14">
        <f t="shared" si="11"/>
        <v>1.4583333333333337E-2</v>
      </c>
      <c r="U90" s="15">
        <f t="shared" si="12"/>
        <v>21.000000000000007</v>
      </c>
    </row>
    <row r="91" spans="1:21" x14ac:dyDescent="0.2">
      <c r="A91" s="20">
        <v>2095</v>
      </c>
      <c r="B91" s="12"/>
      <c r="C91" s="1">
        <v>2</v>
      </c>
      <c r="D91" s="1">
        <v>5</v>
      </c>
      <c r="E91" s="1">
        <v>5</v>
      </c>
      <c r="F91" s="1">
        <v>7</v>
      </c>
      <c r="G91" s="1">
        <v>3</v>
      </c>
      <c r="H91" s="1">
        <v>1012.3</v>
      </c>
      <c r="I91" s="1">
        <v>1042.3</v>
      </c>
      <c r="J91" s="1">
        <v>1027.8</v>
      </c>
      <c r="K91" s="1">
        <f t="shared" si="6"/>
        <v>30</v>
      </c>
      <c r="L91" s="1">
        <f t="shared" si="7"/>
        <v>15.5</v>
      </c>
      <c r="M91" s="1">
        <f t="shared" si="8"/>
        <v>48.333333333333336</v>
      </c>
      <c r="N91" s="25">
        <v>0.38333333333333336</v>
      </c>
      <c r="O91" s="25">
        <v>0.59375</v>
      </c>
      <c r="P91" s="14">
        <f t="shared" si="9"/>
        <v>0.21041666666666664</v>
      </c>
      <c r="Q91" s="15">
        <f t="shared" si="10"/>
        <v>302.99999999999994</v>
      </c>
      <c r="R91" s="25">
        <v>0.42569444444444443</v>
      </c>
      <c r="S91" s="25">
        <v>0.43541666666666667</v>
      </c>
      <c r="T91" s="14">
        <f t="shared" si="11"/>
        <v>9.7222222222222432E-3</v>
      </c>
      <c r="U91" s="15">
        <f t="shared" si="12"/>
        <v>14.00000000000003</v>
      </c>
    </row>
    <row r="92" spans="1:21" x14ac:dyDescent="0.2">
      <c r="A92" s="21">
        <v>2104</v>
      </c>
      <c r="B92" s="12"/>
      <c r="C92" s="1">
        <v>0</v>
      </c>
      <c r="D92" s="1">
        <v>0</v>
      </c>
      <c r="E92" s="1">
        <v>0</v>
      </c>
      <c r="F92" s="1">
        <v>0</v>
      </c>
      <c r="G92" s="1">
        <v>2.5</v>
      </c>
      <c r="H92" s="1">
        <v>1028.3</v>
      </c>
      <c r="I92" s="1">
        <v>1035.5</v>
      </c>
      <c r="J92" s="1">
        <v>1031.5</v>
      </c>
      <c r="K92" s="1">
        <f t="shared" si="6"/>
        <v>7.2000000000000455</v>
      </c>
      <c r="L92" s="1">
        <f t="shared" si="7"/>
        <v>3.2000000000000455</v>
      </c>
      <c r="M92" s="1">
        <f t="shared" si="8"/>
        <v>55.555555555555202</v>
      </c>
      <c r="N92" s="25">
        <v>0.38333333333333336</v>
      </c>
      <c r="O92" s="25">
        <v>0.5625</v>
      </c>
      <c r="P92" s="14">
        <f t="shared" si="9"/>
        <v>0.17916666666666664</v>
      </c>
      <c r="Q92" s="15">
        <f t="shared" si="10"/>
        <v>257.99999999999994</v>
      </c>
      <c r="R92" s="25">
        <v>0.42708333333333331</v>
      </c>
      <c r="S92" s="25">
        <v>0.43680555555555556</v>
      </c>
      <c r="T92" s="14">
        <f t="shared" si="11"/>
        <v>9.7222222222222432E-3</v>
      </c>
      <c r="U92" s="15">
        <f t="shared" si="12"/>
        <v>14.00000000000003</v>
      </c>
    </row>
    <row r="93" spans="1:21" x14ac:dyDescent="0.2">
      <c r="A93" s="21">
        <v>2016</v>
      </c>
      <c r="B93" s="12"/>
      <c r="C93" s="1">
        <v>6</v>
      </c>
      <c r="D93" s="1">
        <v>7</v>
      </c>
      <c r="E93" s="1">
        <v>9</v>
      </c>
      <c r="F93" s="1">
        <v>10</v>
      </c>
      <c r="G93" s="1">
        <v>3.5</v>
      </c>
      <c r="H93" s="1">
        <v>1010.5</v>
      </c>
      <c r="I93" s="1">
        <v>1066.5</v>
      </c>
      <c r="J93" s="1">
        <v>1026.5999999999999</v>
      </c>
      <c r="K93" s="1">
        <f t="shared" si="6"/>
        <v>56</v>
      </c>
      <c r="L93" s="1">
        <f t="shared" si="7"/>
        <v>16.099999999999909</v>
      </c>
      <c r="M93" s="1">
        <f t="shared" si="8"/>
        <v>71.250000000000156</v>
      </c>
      <c r="N93" s="25">
        <v>0.38333333333333336</v>
      </c>
      <c r="O93" s="25">
        <v>0.59722222222222221</v>
      </c>
      <c r="P93" s="14">
        <f t="shared" si="9"/>
        <v>0.21388888888888885</v>
      </c>
      <c r="Q93" s="15">
        <f t="shared" si="10"/>
        <v>307.99999999999994</v>
      </c>
      <c r="R93" s="25">
        <v>0.4284722222222222</v>
      </c>
      <c r="S93" s="25">
        <v>0.43194444444444446</v>
      </c>
      <c r="T93" s="14">
        <f t="shared" si="11"/>
        <v>3.4722222222222654E-3</v>
      </c>
      <c r="U93" s="15">
        <f t="shared" si="12"/>
        <v>5.0000000000000622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F312-AE50-944C-96EB-06A79F6D81D3}">
  <dimension ref="A1:U93"/>
  <sheetViews>
    <sheetView topLeftCell="K35" zoomScale="130" zoomScaleNormal="130" workbookViewId="0">
      <selection activeCell="U44" sqref="U44:U56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3" t="s">
        <v>1</v>
      </c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3" t="s">
        <v>5</v>
      </c>
      <c r="J4" s="1"/>
      <c r="K4" s="1"/>
      <c r="L4" s="3" t="s">
        <v>6</v>
      </c>
      <c r="M4" s="1"/>
      <c r="N4" s="1"/>
      <c r="O4" s="3" t="s">
        <v>7</v>
      </c>
      <c r="P4" s="3" t="s">
        <v>8</v>
      </c>
      <c r="Q4" s="1"/>
      <c r="R4" s="1"/>
      <c r="S4" s="1"/>
      <c r="T4" s="1"/>
      <c r="U4" s="1"/>
    </row>
    <row r="5" spans="1:21" x14ac:dyDescent="0.2">
      <c r="A5" s="19">
        <v>45427</v>
      </c>
      <c r="B5" s="4"/>
      <c r="C5" s="4" t="s">
        <v>9</v>
      </c>
      <c r="D5" s="4">
        <v>2</v>
      </c>
      <c r="E5" s="5" t="s">
        <v>10</v>
      </c>
      <c r="F5" s="4" t="s">
        <v>11</v>
      </c>
      <c r="G5" s="4" t="s">
        <v>12</v>
      </c>
      <c r="H5" s="5" t="s">
        <v>13</v>
      </c>
      <c r="I5" s="4">
        <v>1</v>
      </c>
      <c r="J5" s="4">
        <v>2</v>
      </c>
      <c r="K5" s="5" t="s">
        <v>10</v>
      </c>
      <c r="L5" s="4">
        <v>1</v>
      </c>
      <c r="M5" s="4">
        <v>2</v>
      </c>
      <c r="N5" s="5" t="s">
        <v>10</v>
      </c>
      <c r="O5" s="4"/>
      <c r="P5" s="4"/>
      <c r="Q5" s="1"/>
      <c r="R5" s="1"/>
      <c r="S5" s="1"/>
      <c r="T5" s="1"/>
      <c r="U5" s="1"/>
    </row>
    <row r="6" spans="1:21" x14ac:dyDescent="0.2">
      <c r="A6" s="10">
        <v>2125</v>
      </c>
      <c r="B6" s="6" t="s">
        <v>14</v>
      </c>
      <c r="C6" s="1">
        <v>4.05</v>
      </c>
      <c r="D6" s="1">
        <v>4.22</v>
      </c>
      <c r="E6">
        <f>AVERAGE(C6:D6)</f>
        <v>4.1349999999999998</v>
      </c>
      <c r="F6" s="1">
        <v>4.22</v>
      </c>
      <c r="G6" s="1">
        <v>3.02</v>
      </c>
      <c r="H6" s="1">
        <f>AVERAGE(F6:G6)</f>
        <v>3.62</v>
      </c>
      <c r="I6" s="1">
        <v>11.67</v>
      </c>
      <c r="J6" s="1"/>
      <c r="K6" s="1"/>
      <c r="L6" s="1">
        <v>3.03</v>
      </c>
      <c r="M6" s="1">
        <v>3.23</v>
      </c>
      <c r="N6" s="1">
        <f>AVERAGE(L6:M6)</f>
        <v>3.13</v>
      </c>
      <c r="O6" s="1">
        <v>0</v>
      </c>
      <c r="P6" s="1">
        <v>50</v>
      </c>
      <c r="Q6" s="1"/>
      <c r="R6" s="1"/>
      <c r="S6" s="1"/>
      <c r="T6" s="1"/>
      <c r="U6" s="1"/>
    </row>
    <row r="7" spans="1:21" x14ac:dyDescent="0.2">
      <c r="A7" s="10">
        <v>2126</v>
      </c>
      <c r="B7" s="7"/>
      <c r="C7" s="1">
        <v>5.94</v>
      </c>
      <c r="D7" s="1">
        <v>2.72</v>
      </c>
      <c r="E7">
        <f t="shared" ref="E7:E18" si="0">AVERAGE(C7:D7)</f>
        <v>4.33</v>
      </c>
      <c r="F7">
        <v>4.0199999999999996</v>
      </c>
      <c r="G7" s="1">
        <v>3.07</v>
      </c>
      <c r="H7" s="1">
        <f t="shared" ref="H7:H18" si="1">AVERAGE(F7:G7)</f>
        <v>3.5449999999999999</v>
      </c>
      <c r="I7" s="1">
        <v>20.13</v>
      </c>
      <c r="J7" s="1"/>
      <c r="K7" s="1"/>
      <c r="L7" s="1">
        <v>1.1599999999999999</v>
      </c>
      <c r="M7" s="1">
        <v>3.3</v>
      </c>
      <c r="N7" s="1">
        <f t="shared" ref="N7:N18" si="2">AVERAGE(L7:M7)</f>
        <v>2.23</v>
      </c>
      <c r="O7" s="1">
        <v>0</v>
      </c>
      <c r="P7" s="1">
        <v>44</v>
      </c>
      <c r="Q7" s="1"/>
      <c r="R7" s="1"/>
      <c r="S7" s="1"/>
      <c r="T7" s="1"/>
      <c r="U7" s="1"/>
    </row>
    <row r="8" spans="1:21" x14ac:dyDescent="0.2">
      <c r="A8" s="10">
        <v>2127</v>
      </c>
      <c r="B8" s="7"/>
      <c r="C8" s="1">
        <v>4.43</v>
      </c>
      <c r="D8" s="1">
        <v>3.18</v>
      </c>
      <c r="E8">
        <f t="shared" si="0"/>
        <v>3.8049999999999997</v>
      </c>
      <c r="F8" s="1">
        <v>3.73</v>
      </c>
      <c r="G8" s="1">
        <v>3.82</v>
      </c>
      <c r="H8" s="1">
        <f t="shared" si="1"/>
        <v>3.7749999999999999</v>
      </c>
      <c r="I8" s="1">
        <v>60</v>
      </c>
      <c r="J8" s="1"/>
      <c r="K8" s="1"/>
      <c r="L8" s="1">
        <v>2.33</v>
      </c>
      <c r="M8" s="1">
        <v>2.0299999999999998</v>
      </c>
      <c r="N8" s="1">
        <f t="shared" si="2"/>
        <v>2.1799999999999997</v>
      </c>
      <c r="O8" s="1">
        <v>2</v>
      </c>
      <c r="P8" s="1">
        <v>38.5</v>
      </c>
      <c r="Q8" s="1"/>
      <c r="R8" s="1"/>
      <c r="S8" s="1"/>
      <c r="T8" s="1"/>
      <c r="U8" s="1"/>
    </row>
    <row r="9" spans="1:21" x14ac:dyDescent="0.2">
      <c r="A9" s="10">
        <v>2128</v>
      </c>
      <c r="B9" s="7"/>
      <c r="C9" s="1">
        <v>4</v>
      </c>
      <c r="D9" s="1">
        <v>2.97</v>
      </c>
      <c r="E9">
        <f t="shared" si="0"/>
        <v>3.4850000000000003</v>
      </c>
      <c r="F9" s="1">
        <v>4.6500000000000004</v>
      </c>
      <c r="G9" s="1">
        <v>3.13</v>
      </c>
      <c r="H9" s="1">
        <f t="shared" si="1"/>
        <v>3.89</v>
      </c>
      <c r="I9" s="1">
        <v>12.9</v>
      </c>
      <c r="J9" s="1"/>
      <c r="K9" s="1"/>
      <c r="L9" s="1">
        <v>1.96</v>
      </c>
      <c r="M9" s="1">
        <v>1.01</v>
      </c>
      <c r="N9" s="1">
        <f t="shared" si="2"/>
        <v>1.4849999999999999</v>
      </c>
      <c r="O9" s="1">
        <v>1</v>
      </c>
      <c r="P9" s="1">
        <v>40.5</v>
      </c>
      <c r="Q9" s="1"/>
      <c r="R9" s="1"/>
      <c r="S9" s="1"/>
      <c r="T9" s="1"/>
      <c r="U9" s="1"/>
    </row>
    <row r="10" spans="1:21" x14ac:dyDescent="0.2">
      <c r="A10" s="10">
        <v>2130</v>
      </c>
      <c r="B10" s="7"/>
      <c r="C10" s="1">
        <v>4.55</v>
      </c>
      <c r="D10" s="1">
        <v>3.03</v>
      </c>
      <c r="E10">
        <f t="shared" si="0"/>
        <v>3.79</v>
      </c>
      <c r="F10" s="1">
        <v>5.77</v>
      </c>
      <c r="G10" s="1">
        <v>6.09</v>
      </c>
      <c r="H10" s="1">
        <f t="shared" si="1"/>
        <v>5.93</v>
      </c>
      <c r="I10" s="1">
        <v>6.69</v>
      </c>
      <c r="J10" s="1"/>
      <c r="K10" s="1"/>
      <c r="L10" s="1">
        <v>2.3199999999999998</v>
      </c>
      <c r="M10" s="1">
        <v>1.71</v>
      </c>
      <c r="N10" s="1">
        <f t="shared" si="2"/>
        <v>2.0149999999999997</v>
      </c>
      <c r="O10" s="1">
        <v>0</v>
      </c>
      <c r="P10" s="1">
        <v>43</v>
      </c>
      <c r="Q10" s="1"/>
      <c r="R10" s="1"/>
      <c r="S10" s="1"/>
      <c r="T10" s="1"/>
      <c r="U10" s="1"/>
    </row>
    <row r="11" spans="1:21" x14ac:dyDescent="0.2">
      <c r="A11" s="11">
        <v>2121</v>
      </c>
      <c r="B11" s="9" t="s">
        <v>15</v>
      </c>
      <c r="C11" s="1">
        <v>19.989999999999998</v>
      </c>
      <c r="D11" s="1">
        <v>9.66</v>
      </c>
      <c r="E11">
        <f t="shared" si="0"/>
        <v>14.824999999999999</v>
      </c>
      <c r="F11" s="1">
        <v>14.18</v>
      </c>
      <c r="G11" s="1">
        <v>11.01</v>
      </c>
      <c r="H11" s="1">
        <f t="shared" si="1"/>
        <v>12.594999999999999</v>
      </c>
      <c r="I11" s="1">
        <v>15.5</v>
      </c>
      <c r="J11" s="1"/>
      <c r="K11" s="1"/>
      <c r="L11" s="1">
        <v>4.4000000000000004</v>
      </c>
      <c r="M11" s="1">
        <v>17.12</v>
      </c>
      <c r="N11" s="1">
        <f t="shared" si="2"/>
        <v>10.760000000000002</v>
      </c>
      <c r="O11" s="1">
        <v>2.5</v>
      </c>
      <c r="P11" s="1">
        <v>32</v>
      </c>
      <c r="Q11" s="1"/>
      <c r="R11" s="1"/>
      <c r="S11" s="1"/>
      <c r="T11" s="1"/>
      <c r="U11" s="1"/>
    </row>
    <row r="12" spans="1:21" x14ac:dyDescent="0.2">
      <c r="A12" s="11">
        <v>2122</v>
      </c>
      <c r="B12" s="9"/>
      <c r="C12" s="1">
        <v>27.95</v>
      </c>
      <c r="D12" s="1">
        <v>17.05</v>
      </c>
      <c r="E12">
        <f t="shared" si="0"/>
        <v>22.5</v>
      </c>
      <c r="F12" s="1">
        <v>8.74</v>
      </c>
      <c r="G12" s="1">
        <v>4.8899999999999997</v>
      </c>
      <c r="H12" s="1">
        <f t="shared" si="1"/>
        <v>6.8149999999999995</v>
      </c>
      <c r="I12" s="1">
        <v>3.3</v>
      </c>
      <c r="J12" s="1"/>
      <c r="K12" s="1"/>
      <c r="L12" s="1">
        <v>4.99</v>
      </c>
      <c r="M12" s="1">
        <v>3.37</v>
      </c>
      <c r="N12" s="1">
        <f t="shared" si="2"/>
        <v>4.18</v>
      </c>
      <c r="O12" s="1">
        <v>2.5</v>
      </c>
      <c r="P12" s="1">
        <v>32</v>
      </c>
      <c r="Q12" s="1"/>
      <c r="R12" s="1"/>
      <c r="S12" s="1"/>
      <c r="T12" s="1"/>
      <c r="U12" s="1"/>
    </row>
    <row r="13" spans="1:21" x14ac:dyDescent="0.2">
      <c r="A13" s="11">
        <v>2124</v>
      </c>
      <c r="B13" s="9"/>
      <c r="C13" s="1">
        <v>9.3699999999999992</v>
      </c>
      <c r="D13" s="1">
        <v>4.2300000000000004</v>
      </c>
      <c r="E13">
        <f t="shared" si="0"/>
        <v>6.8</v>
      </c>
      <c r="F13" s="1">
        <v>5.25</v>
      </c>
      <c r="G13" s="1">
        <v>4.57</v>
      </c>
      <c r="H13" s="1">
        <f t="shared" si="1"/>
        <v>4.91</v>
      </c>
      <c r="I13" s="1">
        <v>8.76</v>
      </c>
      <c r="J13" s="1"/>
      <c r="K13" s="1"/>
      <c r="L13" s="1">
        <v>6.16</v>
      </c>
      <c r="M13" s="1">
        <v>4.3499999999999996</v>
      </c>
      <c r="N13" s="1">
        <f t="shared" si="2"/>
        <v>5.2549999999999999</v>
      </c>
      <c r="O13" s="1">
        <v>2</v>
      </c>
      <c r="P13" s="1">
        <v>35</v>
      </c>
      <c r="Q13" s="1"/>
      <c r="R13" s="1"/>
      <c r="S13" s="1"/>
      <c r="T13" s="1"/>
      <c r="U13" s="1"/>
    </row>
    <row r="14" spans="1:21" x14ac:dyDescent="0.2">
      <c r="A14" s="10">
        <v>2129</v>
      </c>
      <c r="B14" s="12" t="s">
        <v>44</v>
      </c>
      <c r="C14" s="1">
        <v>60</v>
      </c>
      <c r="D14" s="1">
        <v>14.5</v>
      </c>
      <c r="E14">
        <f t="shared" si="0"/>
        <v>37.25</v>
      </c>
      <c r="F14" s="1">
        <v>9.2100000000000009</v>
      </c>
      <c r="G14" s="1">
        <v>4.8899999999999997</v>
      </c>
      <c r="H14" s="1">
        <f t="shared" si="1"/>
        <v>7.0500000000000007</v>
      </c>
      <c r="I14" s="1">
        <v>4.18</v>
      </c>
      <c r="J14" s="1"/>
      <c r="K14" s="1"/>
      <c r="L14" s="1">
        <v>6.16</v>
      </c>
      <c r="M14" s="1">
        <v>8.01</v>
      </c>
      <c r="N14" s="1">
        <f t="shared" si="2"/>
        <v>7.085</v>
      </c>
      <c r="O14" s="1">
        <v>1</v>
      </c>
      <c r="P14" s="1">
        <v>32</v>
      </c>
      <c r="Q14" s="1"/>
      <c r="R14" s="1"/>
      <c r="S14" s="1"/>
      <c r="T14" s="1"/>
      <c r="U14" s="1"/>
    </row>
    <row r="15" spans="1:21" x14ac:dyDescent="0.2">
      <c r="A15" s="10">
        <v>2131</v>
      </c>
      <c r="B15" s="12"/>
      <c r="C15" s="1">
        <v>5</v>
      </c>
      <c r="D15" s="1">
        <v>3.7</v>
      </c>
      <c r="E15">
        <f t="shared" si="0"/>
        <v>4.3499999999999996</v>
      </c>
      <c r="F15" s="1">
        <v>5.32</v>
      </c>
      <c r="G15" s="1">
        <v>6.87</v>
      </c>
      <c r="H15" s="1">
        <f t="shared" si="1"/>
        <v>6.0950000000000006</v>
      </c>
      <c r="I15" s="1">
        <v>6.81</v>
      </c>
      <c r="J15" s="1"/>
      <c r="K15" s="1"/>
      <c r="L15" s="1">
        <v>3.84</v>
      </c>
      <c r="M15" s="1">
        <v>2.7</v>
      </c>
      <c r="N15" s="1">
        <f t="shared" si="2"/>
        <v>3.27</v>
      </c>
      <c r="O15" s="1">
        <v>1</v>
      </c>
      <c r="P15" s="1">
        <v>37</v>
      </c>
      <c r="Q15" s="1"/>
      <c r="R15" s="1"/>
      <c r="S15" s="1"/>
      <c r="T15" s="1"/>
      <c r="U15" s="1"/>
    </row>
    <row r="16" spans="1:21" x14ac:dyDescent="0.2">
      <c r="A16" s="11">
        <v>2134</v>
      </c>
      <c r="B16" s="12"/>
      <c r="C16" s="1">
        <v>11.76</v>
      </c>
      <c r="D16" s="1">
        <v>5.97</v>
      </c>
      <c r="E16">
        <f t="shared" si="0"/>
        <v>8.8650000000000002</v>
      </c>
      <c r="F16" s="1">
        <v>13.47</v>
      </c>
      <c r="G16" s="1">
        <v>7.07</v>
      </c>
      <c r="H16" s="1">
        <f t="shared" si="1"/>
        <v>10.27</v>
      </c>
      <c r="I16" s="1">
        <v>7.59</v>
      </c>
      <c r="J16" s="1"/>
      <c r="K16" s="1"/>
      <c r="L16" s="1">
        <v>3.57</v>
      </c>
      <c r="M16" s="1">
        <v>2.37</v>
      </c>
      <c r="N16" s="1">
        <f t="shared" si="2"/>
        <v>2.9699999999999998</v>
      </c>
      <c r="O16" s="1">
        <v>1.5</v>
      </c>
      <c r="P16" s="1">
        <v>28.5</v>
      </c>
      <c r="Q16" s="1"/>
      <c r="R16" s="1"/>
      <c r="S16" s="1"/>
      <c r="T16" s="1"/>
      <c r="U16" s="1"/>
    </row>
    <row r="17" spans="1:21" x14ac:dyDescent="0.2">
      <c r="A17" s="11">
        <v>2135</v>
      </c>
      <c r="B17" s="12"/>
      <c r="C17" s="1">
        <v>4.37</v>
      </c>
      <c r="D17" s="1">
        <v>2.58</v>
      </c>
      <c r="E17">
        <f t="shared" si="0"/>
        <v>3.4750000000000001</v>
      </c>
      <c r="F17" s="1">
        <v>4.75</v>
      </c>
      <c r="G17" s="1">
        <v>2.9</v>
      </c>
      <c r="H17" s="1">
        <f t="shared" si="1"/>
        <v>3.8250000000000002</v>
      </c>
      <c r="I17" s="1">
        <v>6.96</v>
      </c>
      <c r="J17" s="1"/>
      <c r="K17" s="1"/>
      <c r="L17" s="1">
        <v>2.13</v>
      </c>
      <c r="M17" s="1">
        <v>5.56</v>
      </c>
      <c r="N17" s="1">
        <f t="shared" si="2"/>
        <v>3.8449999999999998</v>
      </c>
      <c r="O17" s="1">
        <v>1.5</v>
      </c>
      <c r="P17" s="1">
        <v>28</v>
      </c>
      <c r="Q17" s="1"/>
      <c r="R17" s="1"/>
      <c r="S17" s="1"/>
      <c r="T17" s="1"/>
      <c r="U17" s="1"/>
    </row>
    <row r="18" spans="1:21" x14ac:dyDescent="0.2">
      <c r="A18" s="11">
        <v>2136</v>
      </c>
      <c r="B18" s="12"/>
      <c r="C18" s="1">
        <v>12.35</v>
      </c>
      <c r="D18" s="1">
        <v>6.6</v>
      </c>
      <c r="E18">
        <f t="shared" si="0"/>
        <v>9.4749999999999996</v>
      </c>
      <c r="F18" s="1">
        <v>4.8499999999999996</v>
      </c>
      <c r="G18" s="1">
        <v>4.42</v>
      </c>
      <c r="H18" s="1">
        <f t="shared" si="1"/>
        <v>4.6349999999999998</v>
      </c>
      <c r="I18" s="1">
        <v>5.32</v>
      </c>
      <c r="J18" s="1"/>
      <c r="K18" s="1"/>
      <c r="L18" s="1">
        <v>7.62</v>
      </c>
      <c r="M18" s="1">
        <v>1.92</v>
      </c>
      <c r="N18" s="1">
        <f t="shared" si="2"/>
        <v>4.7699999999999996</v>
      </c>
      <c r="O18" s="1">
        <v>1</v>
      </c>
      <c r="P18" s="1">
        <v>26</v>
      </c>
      <c r="Q18" s="1"/>
      <c r="R18" s="1"/>
      <c r="S18" s="1"/>
      <c r="T18" s="1"/>
      <c r="U18" s="1"/>
    </row>
    <row r="19" spans="1:21" x14ac:dyDescent="0.2">
      <c r="A19" s="1"/>
      <c r="B19" s="1"/>
      <c r="C19" s="1"/>
      <c r="D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1"/>
      <c r="B20" s="1"/>
      <c r="C20" s="1"/>
      <c r="D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1"/>
      <c r="B21" s="1"/>
      <c r="C21" s="1"/>
      <c r="D21" s="1" t="s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1"/>
      <c r="B22" s="1"/>
      <c r="C22" s="1"/>
      <c r="D22" s="3" t="s">
        <v>16</v>
      </c>
      <c r="E22" s="1"/>
      <c r="F22" s="1"/>
      <c r="G22" s="3" t="s">
        <v>17</v>
      </c>
      <c r="H22" s="1"/>
      <c r="I22" s="1"/>
      <c r="J22" s="3" t="s">
        <v>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1"/>
      <c r="B23" s="1"/>
      <c r="C23" s="1"/>
      <c r="D23" s="4">
        <v>1</v>
      </c>
      <c r="E23" s="4">
        <v>2</v>
      </c>
      <c r="F23" s="5" t="s">
        <v>10</v>
      </c>
      <c r="G23" s="4">
        <v>1</v>
      </c>
      <c r="H23" s="4">
        <v>2</v>
      </c>
      <c r="I23" s="5" t="s">
        <v>10</v>
      </c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1"/>
      <c r="B24" s="10">
        <v>2125</v>
      </c>
      <c r="C24" s="6" t="s">
        <v>14</v>
      </c>
      <c r="D24" s="1">
        <v>10</v>
      </c>
      <c r="E24" s="1">
        <v>10</v>
      </c>
      <c r="F24" s="1">
        <f t="shared" ref="F24:F36" si="3">AVERAGE(D24:E24)</f>
        <v>10</v>
      </c>
      <c r="G24" s="1">
        <v>3</v>
      </c>
      <c r="H24" s="1">
        <v>4</v>
      </c>
      <c r="I24" s="1">
        <f t="shared" ref="I24:I36" si="4">AVERAGE(G24:H24)</f>
        <v>3.5</v>
      </c>
      <c r="J24" s="1">
        <f t="shared" ref="J24:J36" si="5">I24/F24</f>
        <v>0.35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B25" s="10">
        <v>2126</v>
      </c>
      <c r="C25" s="7"/>
      <c r="D25" s="1">
        <v>11</v>
      </c>
      <c r="E25" s="1">
        <v>11</v>
      </c>
      <c r="F25" s="1">
        <f t="shared" si="3"/>
        <v>11</v>
      </c>
      <c r="G25" s="1">
        <v>5</v>
      </c>
      <c r="H25" s="1">
        <v>3</v>
      </c>
      <c r="I25" s="1">
        <f t="shared" si="4"/>
        <v>4</v>
      </c>
      <c r="J25" s="1">
        <f t="shared" si="5"/>
        <v>0.36363636363636365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"/>
      <c r="B26" s="10">
        <v>2127</v>
      </c>
      <c r="C26" s="7"/>
      <c r="D26" s="1">
        <v>11</v>
      </c>
      <c r="E26" s="1">
        <v>10</v>
      </c>
      <c r="F26" s="1">
        <f t="shared" si="3"/>
        <v>10.5</v>
      </c>
      <c r="G26" s="1">
        <v>2</v>
      </c>
      <c r="H26" s="1">
        <v>2</v>
      </c>
      <c r="I26" s="1">
        <f t="shared" si="4"/>
        <v>2</v>
      </c>
      <c r="J26" s="1">
        <f t="shared" si="5"/>
        <v>0.19047619047619047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"/>
      <c r="B27" s="10">
        <v>2128</v>
      </c>
      <c r="C27" s="7"/>
      <c r="D27" s="1">
        <v>10</v>
      </c>
      <c r="E27" s="1">
        <v>10</v>
      </c>
      <c r="F27" s="1">
        <f t="shared" si="3"/>
        <v>10</v>
      </c>
      <c r="G27" s="1">
        <v>5</v>
      </c>
      <c r="H27" s="1">
        <v>1</v>
      </c>
      <c r="I27" s="1">
        <f t="shared" si="4"/>
        <v>3</v>
      </c>
      <c r="J27" s="1">
        <f t="shared" si="5"/>
        <v>0.3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0">
        <v>2130</v>
      </c>
      <c r="C28" s="7"/>
      <c r="D28" s="1">
        <v>12</v>
      </c>
      <c r="E28" s="1">
        <v>10</v>
      </c>
      <c r="F28" s="1">
        <f t="shared" si="3"/>
        <v>11</v>
      </c>
      <c r="G28" s="1">
        <v>4</v>
      </c>
      <c r="H28" s="1">
        <v>5</v>
      </c>
      <c r="I28" s="1">
        <f t="shared" si="4"/>
        <v>4.5</v>
      </c>
      <c r="J28" s="1">
        <f t="shared" si="5"/>
        <v>0.40909090909090912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"/>
      <c r="B29" s="11">
        <v>2121</v>
      </c>
      <c r="C29" s="9" t="s">
        <v>15</v>
      </c>
      <c r="D29" s="1">
        <v>12</v>
      </c>
      <c r="E29" s="1">
        <v>13</v>
      </c>
      <c r="F29" s="1">
        <f t="shared" si="3"/>
        <v>12.5</v>
      </c>
      <c r="G29" s="1">
        <v>10</v>
      </c>
      <c r="H29" s="1">
        <v>12</v>
      </c>
      <c r="I29" s="1">
        <f t="shared" si="4"/>
        <v>11</v>
      </c>
      <c r="J29" s="1">
        <f t="shared" si="5"/>
        <v>0.88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1">
        <v>2122</v>
      </c>
      <c r="C30" s="9"/>
      <c r="D30" s="1">
        <v>12</v>
      </c>
      <c r="E30" s="1">
        <v>13</v>
      </c>
      <c r="F30" s="1">
        <f t="shared" si="3"/>
        <v>12.5</v>
      </c>
      <c r="G30" s="1">
        <v>10</v>
      </c>
      <c r="H30" s="1">
        <v>6</v>
      </c>
      <c r="I30" s="1">
        <f t="shared" si="4"/>
        <v>8</v>
      </c>
      <c r="J30" s="1">
        <f t="shared" si="5"/>
        <v>0.64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B31" s="11">
        <v>2124</v>
      </c>
      <c r="C31" s="9"/>
      <c r="D31" s="1">
        <v>15</v>
      </c>
      <c r="E31" s="1">
        <v>12</v>
      </c>
      <c r="F31" s="1">
        <f t="shared" si="3"/>
        <v>13.5</v>
      </c>
      <c r="G31" s="1">
        <v>12</v>
      </c>
      <c r="H31" s="1">
        <v>7</v>
      </c>
      <c r="I31" s="1">
        <f t="shared" si="4"/>
        <v>9.5</v>
      </c>
      <c r="J31" s="1">
        <f t="shared" si="5"/>
        <v>0.70370370370370372</v>
      </c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B32" s="10">
        <v>2129</v>
      </c>
      <c r="C32" s="12" t="s">
        <v>44</v>
      </c>
      <c r="D32" s="1"/>
      <c r="E32" s="1">
        <v>13</v>
      </c>
      <c r="F32" s="1">
        <f t="shared" si="3"/>
        <v>13</v>
      </c>
      <c r="G32" s="1"/>
      <c r="H32" s="1">
        <v>7</v>
      </c>
      <c r="I32" s="1">
        <f t="shared" si="4"/>
        <v>7</v>
      </c>
      <c r="J32" s="1">
        <f t="shared" si="5"/>
        <v>0.53846153846153844</v>
      </c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B33" s="10">
        <v>2131</v>
      </c>
      <c r="C33" s="12"/>
      <c r="D33" s="1">
        <v>13</v>
      </c>
      <c r="E33" s="1">
        <v>12</v>
      </c>
      <c r="F33" s="1">
        <f t="shared" si="3"/>
        <v>12.5</v>
      </c>
      <c r="G33" s="1">
        <v>8</v>
      </c>
      <c r="H33" s="1">
        <v>8</v>
      </c>
      <c r="I33" s="1">
        <f t="shared" si="4"/>
        <v>8</v>
      </c>
      <c r="J33" s="1">
        <f t="shared" si="5"/>
        <v>0.64</v>
      </c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B34" s="11">
        <v>2134</v>
      </c>
      <c r="C34" s="12"/>
      <c r="D34" s="1">
        <v>11</v>
      </c>
      <c r="E34" s="1">
        <v>12</v>
      </c>
      <c r="F34" s="1">
        <f t="shared" si="3"/>
        <v>11.5</v>
      </c>
      <c r="G34" s="1">
        <v>9</v>
      </c>
      <c r="H34" s="1">
        <v>8</v>
      </c>
      <c r="I34" s="1">
        <f t="shared" si="4"/>
        <v>8.5</v>
      </c>
      <c r="J34" s="1">
        <f t="shared" si="5"/>
        <v>0.73913043478260865</v>
      </c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1">
        <v>2135</v>
      </c>
      <c r="C35" s="12"/>
      <c r="D35" s="1">
        <v>12</v>
      </c>
      <c r="E35" s="1">
        <v>12</v>
      </c>
      <c r="F35" s="1">
        <f t="shared" si="3"/>
        <v>12</v>
      </c>
      <c r="G35" s="1">
        <v>4</v>
      </c>
      <c r="H35" s="1">
        <v>4</v>
      </c>
      <c r="I35" s="1">
        <f t="shared" si="4"/>
        <v>4</v>
      </c>
      <c r="J35" s="1">
        <f t="shared" si="5"/>
        <v>0.33333333333333331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1">
        <v>2136</v>
      </c>
      <c r="C36" s="12"/>
      <c r="D36" s="1">
        <v>13</v>
      </c>
      <c r="E36" s="1">
        <v>13</v>
      </c>
      <c r="F36" s="1">
        <f t="shared" si="3"/>
        <v>13</v>
      </c>
      <c r="G36" s="1">
        <v>6</v>
      </c>
      <c r="H36" s="1">
        <v>6</v>
      </c>
      <c r="I36" s="1">
        <f t="shared" si="4"/>
        <v>6</v>
      </c>
      <c r="J36" s="1">
        <f t="shared" si="5"/>
        <v>0.46153846153846156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 t="s">
        <v>19</v>
      </c>
      <c r="B40" s="1" t="s">
        <v>20</v>
      </c>
    </row>
    <row r="41" spans="1:21" x14ac:dyDescent="0.2">
      <c r="A41" s="2" t="s">
        <v>21</v>
      </c>
      <c r="L41" s="1"/>
      <c r="M41" s="1"/>
      <c r="N41" s="1" t="s">
        <v>22</v>
      </c>
      <c r="O41" s="1"/>
      <c r="P41" s="1"/>
      <c r="Q41" s="1"/>
      <c r="R41" s="1" t="s">
        <v>23</v>
      </c>
      <c r="S41" s="1"/>
      <c r="T41" s="1"/>
      <c r="U41" s="1"/>
    </row>
    <row r="42" spans="1:21" x14ac:dyDescent="0.2">
      <c r="A42" s="3" t="s">
        <v>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 t="s">
        <v>24</v>
      </c>
      <c r="O42" s="1"/>
      <c r="P42" s="1"/>
      <c r="Q42" s="1"/>
      <c r="R42" s="3" t="s">
        <v>25</v>
      </c>
      <c r="S42" s="1"/>
      <c r="T42" s="1"/>
      <c r="U42" s="1"/>
    </row>
    <row r="43" spans="1:21" x14ac:dyDescent="0.2">
      <c r="A43" s="2" t="s">
        <v>47</v>
      </c>
      <c r="B43" s="4"/>
      <c r="C43" s="4" t="s">
        <v>27</v>
      </c>
      <c r="D43" s="4" t="s">
        <v>28</v>
      </c>
      <c r="E43" s="4" t="s">
        <v>29</v>
      </c>
      <c r="F43" s="4" t="s">
        <v>30</v>
      </c>
      <c r="G43" s="3" t="s">
        <v>31</v>
      </c>
      <c r="H43" s="4" t="s">
        <v>32</v>
      </c>
      <c r="I43" s="4" t="s">
        <v>33</v>
      </c>
      <c r="J43" s="4" t="s">
        <v>34</v>
      </c>
      <c r="K43" s="4" t="s">
        <v>35</v>
      </c>
      <c r="L43" s="4" t="s">
        <v>36</v>
      </c>
      <c r="M43" s="8" t="s">
        <v>37</v>
      </c>
      <c r="N43" s="4" t="s">
        <v>38</v>
      </c>
      <c r="O43" s="4" t="s">
        <v>39</v>
      </c>
      <c r="P43" s="4" t="s">
        <v>40</v>
      </c>
      <c r="Q43" s="8" t="s">
        <v>41</v>
      </c>
      <c r="R43" s="4" t="s">
        <v>38</v>
      </c>
      <c r="S43" s="4" t="s">
        <v>39</v>
      </c>
      <c r="T43" s="4" t="s">
        <v>40</v>
      </c>
      <c r="U43" s="8" t="s">
        <v>42</v>
      </c>
    </row>
    <row r="44" spans="1:21" x14ac:dyDescent="0.2">
      <c r="A44" s="10">
        <v>2125</v>
      </c>
      <c r="B44" s="6" t="s">
        <v>14</v>
      </c>
      <c r="C44" s="1">
        <v>4</v>
      </c>
      <c r="D44" s="1">
        <v>8</v>
      </c>
      <c r="E44" s="1">
        <v>7</v>
      </c>
      <c r="F44" s="1">
        <v>8</v>
      </c>
      <c r="G44" s="1">
        <v>4.5</v>
      </c>
      <c r="H44" s="1">
        <v>1024.5</v>
      </c>
      <c r="I44" s="1">
        <v>1050.8</v>
      </c>
      <c r="J44" s="1">
        <v>1036.2</v>
      </c>
      <c r="K44" s="1">
        <f t="shared" ref="K44:K56" si="6">I44-H44</f>
        <v>26.299999999999955</v>
      </c>
      <c r="L44" s="1">
        <f t="shared" ref="L44:L56" si="7">J44-H44</f>
        <v>11.700000000000045</v>
      </c>
      <c r="M44" s="1">
        <f t="shared" ref="M44:M56" si="8">(K44-L44)/(K44)*100</f>
        <v>55.513307984790629</v>
      </c>
      <c r="N44" s="13">
        <v>0.40138888888888891</v>
      </c>
      <c r="O44" s="13">
        <v>0.54166666666666663</v>
      </c>
      <c r="P44" s="14">
        <f t="shared" ref="P44:P55" si="9">O44-N44</f>
        <v>0.14027777777777772</v>
      </c>
      <c r="Q44" s="15">
        <f t="shared" ref="Q44:Q56" si="10">P44*1440</f>
        <v>201.99999999999991</v>
      </c>
      <c r="R44" s="14">
        <v>0.43333333333333335</v>
      </c>
      <c r="S44" s="14">
        <v>0.43333333333333335</v>
      </c>
      <c r="T44" s="14">
        <f t="shared" ref="T44:T56" si="11">S44-R44</f>
        <v>0</v>
      </c>
      <c r="U44" s="15">
        <f t="shared" ref="U44:U56" si="12">T44*1440</f>
        <v>0</v>
      </c>
    </row>
    <row r="45" spans="1:21" x14ac:dyDescent="0.2">
      <c r="A45" s="10">
        <v>2126</v>
      </c>
      <c r="B45" s="7"/>
      <c r="C45" s="1">
        <v>3</v>
      </c>
      <c r="D45" s="1">
        <v>3</v>
      </c>
      <c r="E45" s="1">
        <v>4</v>
      </c>
      <c r="F45" s="1">
        <v>8</v>
      </c>
      <c r="G45" s="1">
        <v>4</v>
      </c>
      <c r="H45" s="1">
        <v>1008.7</v>
      </c>
      <c r="I45" s="1">
        <v>1036.4000000000001</v>
      </c>
      <c r="J45" s="1">
        <v>1020.3</v>
      </c>
      <c r="K45" s="1">
        <f t="shared" si="6"/>
        <v>27.700000000000045</v>
      </c>
      <c r="L45" s="1">
        <f t="shared" si="7"/>
        <v>11.599999999999909</v>
      </c>
      <c r="M45" s="1">
        <f t="shared" si="8"/>
        <v>58.122743682310862</v>
      </c>
      <c r="N45" s="13">
        <v>0.40138888888888891</v>
      </c>
      <c r="O45" s="13">
        <v>0.61111111111111116</v>
      </c>
      <c r="P45" s="14">
        <f t="shared" si="9"/>
        <v>0.20972222222222225</v>
      </c>
      <c r="Q45" s="15">
        <f t="shared" si="10"/>
        <v>302.00000000000006</v>
      </c>
      <c r="R45" s="14">
        <v>0.43680555555555556</v>
      </c>
      <c r="S45" s="14" t="s">
        <v>46</v>
      </c>
      <c r="T45" s="14">
        <v>4.1666666666666664E-2</v>
      </c>
      <c r="U45" s="15">
        <f t="shared" si="12"/>
        <v>60</v>
      </c>
    </row>
    <row r="46" spans="1:21" x14ac:dyDescent="0.2">
      <c r="A46" s="10">
        <v>2127</v>
      </c>
      <c r="B46" s="7"/>
      <c r="C46" s="1">
        <v>2</v>
      </c>
      <c r="D46" s="1">
        <v>2</v>
      </c>
      <c r="E46" s="1">
        <v>2</v>
      </c>
      <c r="F46" s="1">
        <v>2</v>
      </c>
      <c r="G46" s="1">
        <v>4</v>
      </c>
      <c r="H46" s="1">
        <v>1026.4000000000001</v>
      </c>
      <c r="I46" s="1">
        <v>1069.3</v>
      </c>
      <c r="J46" s="1">
        <v>1041.8</v>
      </c>
      <c r="K46" s="1">
        <f t="shared" si="6"/>
        <v>42.899999999999864</v>
      </c>
      <c r="L46" s="1">
        <f t="shared" si="7"/>
        <v>15.399999999999864</v>
      </c>
      <c r="M46" s="1">
        <f t="shared" si="8"/>
        <v>64.102564102564301</v>
      </c>
      <c r="N46" s="13">
        <v>0.40138888888888891</v>
      </c>
      <c r="O46" s="13">
        <v>0.59027777777777779</v>
      </c>
      <c r="P46" s="14">
        <f t="shared" si="9"/>
        <v>0.18888888888888888</v>
      </c>
      <c r="Q46" s="15">
        <f t="shared" si="10"/>
        <v>272</v>
      </c>
      <c r="R46" s="14">
        <v>0.43958333333333333</v>
      </c>
      <c r="S46" s="14">
        <v>0.4513888888888889</v>
      </c>
      <c r="T46" s="14">
        <f t="shared" si="11"/>
        <v>1.1805555555555569E-2</v>
      </c>
      <c r="U46" s="15">
        <f t="shared" si="12"/>
        <v>17.000000000000021</v>
      </c>
    </row>
    <row r="47" spans="1:21" x14ac:dyDescent="0.2">
      <c r="A47" s="10">
        <v>2128</v>
      </c>
      <c r="B47" s="7"/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1026.3</v>
      </c>
      <c r="I47" s="1">
        <v>1056.2</v>
      </c>
      <c r="J47" s="1">
        <v>1041.5999999999999</v>
      </c>
      <c r="K47" s="1">
        <f t="shared" si="6"/>
        <v>29.900000000000091</v>
      </c>
      <c r="L47" s="1">
        <f t="shared" si="7"/>
        <v>15.299999999999955</v>
      </c>
      <c r="M47" s="1">
        <f t="shared" si="8"/>
        <v>48.829431438127394</v>
      </c>
      <c r="N47" s="13">
        <v>0.40138888888888891</v>
      </c>
      <c r="O47" s="13">
        <v>0.59375</v>
      </c>
      <c r="P47" s="14">
        <f t="shared" si="9"/>
        <v>0.19236111111111109</v>
      </c>
      <c r="Q47" s="15">
        <f t="shared" si="10"/>
        <v>277</v>
      </c>
      <c r="R47" s="14">
        <v>0.44236111111111109</v>
      </c>
      <c r="S47" s="14">
        <v>0.44236111111111109</v>
      </c>
      <c r="T47" s="14">
        <f t="shared" si="11"/>
        <v>0</v>
      </c>
      <c r="U47" s="15">
        <f t="shared" si="12"/>
        <v>0</v>
      </c>
    </row>
    <row r="48" spans="1:21" x14ac:dyDescent="0.2">
      <c r="A48" s="10">
        <v>2130</v>
      </c>
      <c r="B48" s="7"/>
      <c r="C48" s="1">
        <v>3</v>
      </c>
      <c r="D48" s="1">
        <v>4</v>
      </c>
      <c r="E48" s="1">
        <v>5</v>
      </c>
      <c r="F48" s="1">
        <v>6</v>
      </c>
      <c r="G48" s="1">
        <v>3.5</v>
      </c>
      <c r="H48" s="1">
        <v>1004</v>
      </c>
      <c r="I48" s="1">
        <v>1039.5</v>
      </c>
      <c r="J48" s="1">
        <v>1018</v>
      </c>
      <c r="K48" s="1">
        <f t="shared" si="6"/>
        <v>35.5</v>
      </c>
      <c r="L48" s="1">
        <f t="shared" si="7"/>
        <v>14</v>
      </c>
      <c r="M48" s="1">
        <f t="shared" si="8"/>
        <v>60.563380281690137</v>
      </c>
      <c r="N48" s="13">
        <v>0.40138888888888891</v>
      </c>
      <c r="O48" s="13">
        <v>0.52083333333333337</v>
      </c>
      <c r="P48" s="14">
        <f t="shared" si="9"/>
        <v>0.11944444444444446</v>
      </c>
      <c r="Q48" s="15">
        <f t="shared" si="10"/>
        <v>172.00000000000003</v>
      </c>
      <c r="R48" s="14">
        <v>0.44583333333333336</v>
      </c>
      <c r="S48" s="14">
        <v>0.44583333333333336</v>
      </c>
      <c r="T48" s="14">
        <f t="shared" si="11"/>
        <v>0</v>
      </c>
      <c r="U48" s="15">
        <f t="shared" si="12"/>
        <v>0</v>
      </c>
    </row>
    <row r="49" spans="1:21" x14ac:dyDescent="0.2">
      <c r="A49" s="11">
        <v>2121</v>
      </c>
      <c r="B49" s="9" t="s">
        <v>15</v>
      </c>
      <c r="C49" s="1">
        <v>4</v>
      </c>
      <c r="D49" s="1">
        <v>6</v>
      </c>
      <c r="E49" s="1">
        <v>6</v>
      </c>
      <c r="F49" s="1">
        <v>6</v>
      </c>
      <c r="G49" s="1">
        <v>2.5</v>
      </c>
      <c r="H49" s="1">
        <v>1024.5999999999999</v>
      </c>
      <c r="I49" s="1">
        <v>1049.0999999999999</v>
      </c>
      <c r="J49" s="1">
        <v>1037.4000000000001</v>
      </c>
      <c r="K49" s="1">
        <f t="shared" si="6"/>
        <v>24.5</v>
      </c>
      <c r="L49" s="1">
        <f t="shared" si="7"/>
        <v>12.800000000000182</v>
      </c>
      <c r="M49" s="1">
        <f t="shared" si="8"/>
        <v>47.755102040815586</v>
      </c>
      <c r="N49" s="13">
        <v>0.39652777777777776</v>
      </c>
      <c r="O49" s="13">
        <v>0.59375</v>
      </c>
      <c r="P49" s="14">
        <f t="shared" si="9"/>
        <v>0.19722222222222224</v>
      </c>
      <c r="Q49" s="15">
        <f t="shared" si="10"/>
        <v>284.00000000000006</v>
      </c>
      <c r="R49" s="14">
        <v>0.40902777777777777</v>
      </c>
      <c r="S49" s="14">
        <v>0.43055555555555558</v>
      </c>
      <c r="T49" s="14">
        <f t="shared" si="11"/>
        <v>2.1527777777777812E-2</v>
      </c>
      <c r="U49" s="15">
        <f t="shared" si="12"/>
        <v>31.00000000000005</v>
      </c>
    </row>
    <row r="50" spans="1:21" x14ac:dyDescent="0.2">
      <c r="A50" s="11">
        <v>2122</v>
      </c>
      <c r="B50" s="9"/>
      <c r="C50" s="1">
        <v>2</v>
      </c>
      <c r="D50" s="1">
        <v>5</v>
      </c>
      <c r="E50" s="1">
        <v>6</v>
      </c>
      <c r="F50" s="1">
        <v>7</v>
      </c>
      <c r="G50" s="1">
        <v>2</v>
      </c>
      <c r="H50" s="1">
        <v>1016.4</v>
      </c>
      <c r="I50" s="1">
        <v>1033.3</v>
      </c>
      <c r="J50" s="1">
        <v>1027.7</v>
      </c>
      <c r="K50" s="1">
        <f t="shared" si="6"/>
        <v>16.899999999999977</v>
      </c>
      <c r="L50" s="1">
        <f t="shared" si="7"/>
        <v>11.300000000000068</v>
      </c>
      <c r="M50" s="1">
        <f t="shared" si="8"/>
        <v>33.136094674555721</v>
      </c>
      <c r="N50" s="13">
        <v>0.39652777777777776</v>
      </c>
      <c r="O50" s="13">
        <v>0.54166666666666663</v>
      </c>
      <c r="P50" s="14">
        <f t="shared" si="9"/>
        <v>0.14513888888888887</v>
      </c>
      <c r="Q50" s="15">
        <f t="shared" si="10"/>
        <v>208.99999999999997</v>
      </c>
      <c r="R50" s="14">
        <v>0.41180555555555554</v>
      </c>
      <c r="S50" s="14">
        <v>0.4236111111111111</v>
      </c>
      <c r="T50" s="14">
        <f t="shared" si="11"/>
        <v>1.1805555555555569E-2</v>
      </c>
      <c r="U50" s="15">
        <f t="shared" si="12"/>
        <v>17.000000000000021</v>
      </c>
    </row>
    <row r="51" spans="1:21" x14ac:dyDescent="0.2">
      <c r="A51" s="11">
        <v>2124</v>
      </c>
      <c r="B51" s="9"/>
      <c r="C51" s="1">
        <v>5</v>
      </c>
      <c r="D51" s="1">
        <v>8</v>
      </c>
      <c r="E51" s="1">
        <v>8</v>
      </c>
      <c r="F51" s="1">
        <v>10</v>
      </c>
      <c r="G51" s="1">
        <v>2</v>
      </c>
      <c r="H51" s="1">
        <v>1028.3</v>
      </c>
      <c r="I51" s="1">
        <v>1051</v>
      </c>
      <c r="J51" s="1">
        <v>1043.3</v>
      </c>
      <c r="K51" s="1">
        <f t="shared" si="6"/>
        <v>22.700000000000045</v>
      </c>
      <c r="L51" s="1">
        <f t="shared" si="7"/>
        <v>15</v>
      </c>
      <c r="M51" s="1">
        <f t="shared" si="8"/>
        <v>33.920704845815109</v>
      </c>
      <c r="N51" s="13">
        <v>0.39652777777777776</v>
      </c>
      <c r="O51" s="13">
        <v>0.61111111111111116</v>
      </c>
      <c r="P51" s="14">
        <f t="shared" si="9"/>
        <v>0.2145833333333334</v>
      </c>
      <c r="Q51" s="15">
        <f t="shared" si="10"/>
        <v>309.00000000000011</v>
      </c>
      <c r="R51" s="14">
        <v>0.41458333333333336</v>
      </c>
      <c r="S51" s="14">
        <v>0.42638888888888887</v>
      </c>
      <c r="T51" s="14">
        <f t="shared" si="11"/>
        <v>1.1805555555555514E-2</v>
      </c>
      <c r="U51" s="15">
        <f t="shared" si="12"/>
        <v>16.99999999999994</v>
      </c>
    </row>
    <row r="52" spans="1:21" x14ac:dyDescent="0.2">
      <c r="A52" s="10">
        <v>2129</v>
      </c>
      <c r="B52" s="12" t="s">
        <v>44</v>
      </c>
      <c r="C52" s="1">
        <v>4</v>
      </c>
      <c r="D52" s="1">
        <v>5</v>
      </c>
      <c r="E52" s="1">
        <v>5</v>
      </c>
      <c r="F52" s="1">
        <v>7</v>
      </c>
      <c r="G52" s="1">
        <v>2.5</v>
      </c>
      <c r="H52" s="1">
        <v>1028.3</v>
      </c>
      <c r="I52" s="17">
        <v>1054.5</v>
      </c>
      <c r="J52" s="17">
        <v>1043.5999999999999</v>
      </c>
      <c r="K52" s="1">
        <f t="shared" si="6"/>
        <v>26.200000000000045</v>
      </c>
      <c r="L52" s="1">
        <f t="shared" si="7"/>
        <v>15.299999999999955</v>
      </c>
      <c r="M52" s="1">
        <f t="shared" si="8"/>
        <v>41.603053435114781</v>
      </c>
      <c r="N52" s="13">
        <v>0.39930555555555558</v>
      </c>
      <c r="O52" s="16">
        <v>0.5625</v>
      </c>
      <c r="P52" s="14">
        <f t="shared" si="9"/>
        <v>0.16319444444444442</v>
      </c>
      <c r="Q52" s="15">
        <f t="shared" si="10"/>
        <v>234.99999999999997</v>
      </c>
      <c r="R52" s="14">
        <v>0.41736111111111113</v>
      </c>
      <c r="S52" s="14">
        <v>0.41736111111111113</v>
      </c>
      <c r="T52" s="14">
        <f t="shared" si="11"/>
        <v>0</v>
      </c>
      <c r="U52" s="15">
        <f t="shared" si="12"/>
        <v>0</v>
      </c>
    </row>
    <row r="53" spans="1:21" x14ac:dyDescent="0.2">
      <c r="A53" s="10">
        <v>2131</v>
      </c>
      <c r="B53" s="12"/>
      <c r="C53" s="1">
        <v>4</v>
      </c>
      <c r="D53" s="1">
        <v>8</v>
      </c>
      <c r="E53" s="1">
        <v>8</v>
      </c>
      <c r="F53" s="1">
        <v>10</v>
      </c>
      <c r="G53" s="1">
        <v>4</v>
      </c>
      <c r="H53" s="1">
        <v>1007.5</v>
      </c>
      <c r="I53" s="1">
        <v>1043.8</v>
      </c>
      <c r="J53" s="1">
        <v>1022.5</v>
      </c>
      <c r="K53" s="1">
        <f t="shared" si="6"/>
        <v>36.299999999999955</v>
      </c>
      <c r="L53" s="1">
        <f t="shared" si="7"/>
        <v>15</v>
      </c>
      <c r="M53" s="1">
        <f t="shared" si="8"/>
        <v>58.677685950413171</v>
      </c>
      <c r="N53" s="13">
        <v>0.39930555555555558</v>
      </c>
      <c r="O53" s="14">
        <v>0.5625</v>
      </c>
      <c r="P53" s="14">
        <f t="shared" si="9"/>
        <v>0.16319444444444442</v>
      </c>
      <c r="Q53" s="15">
        <f t="shared" si="10"/>
        <v>234.99999999999997</v>
      </c>
      <c r="R53" s="14">
        <v>0.41944444444444445</v>
      </c>
      <c r="S53" s="14">
        <v>0.43472222222222223</v>
      </c>
      <c r="T53" s="14">
        <f t="shared" si="11"/>
        <v>1.5277777777777779E-2</v>
      </c>
      <c r="U53" s="15">
        <f t="shared" si="12"/>
        <v>22</v>
      </c>
    </row>
    <row r="54" spans="1:21" x14ac:dyDescent="0.2">
      <c r="A54" s="11">
        <v>2134</v>
      </c>
      <c r="B54" s="12"/>
      <c r="C54" s="17">
        <v>2</v>
      </c>
      <c r="D54" s="17">
        <v>5</v>
      </c>
      <c r="E54" s="17">
        <v>5</v>
      </c>
      <c r="F54" s="17">
        <v>5</v>
      </c>
      <c r="G54" s="17">
        <v>2</v>
      </c>
      <c r="H54" s="1">
        <v>1021.1</v>
      </c>
      <c r="I54" s="1">
        <v>1039.0999999999999</v>
      </c>
      <c r="J54" s="1">
        <v>1031.5</v>
      </c>
      <c r="K54" s="1">
        <f t="shared" si="6"/>
        <v>17.999999999999886</v>
      </c>
      <c r="L54" s="1">
        <f t="shared" si="7"/>
        <v>10.399999999999977</v>
      </c>
      <c r="M54" s="1">
        <f t="shared" si="8"/>
        <v>42.222222222221987</v>
      </c>
      <c r="N54" s="13">
        <v>0.39930555555555558</v>
      </c>
      <c r="O54" s="13">
        <v>0.625</v>
      </c>
      <c r="P54" s="14">
        <f t="shared" si="9"/>
        <v>0.22569444444444442</v>
      </c>
      <c r="Q54" s="15">
        <f t="shared" si="10"/>
        <v>324.99999999999994</v>
      </c>
      <c r="R54" s="18">
        <v>0.4236111111111111</v>
      </c>
      <c r="S54" s="18">
        <v>0.43611111111111112</v>
      </c>
      <c r="T54" s="14">
        <f t="shared" si="11"/>
        <v>1.2500000000000011E-2</v>
      </c>
      <c r="U54" s="15">
        <f t="shared" si="12"/>
        <v>18.000000000000014</v>
      </c>
    </row>
    <row r="55" spans="1:21" x14ac:dyDescent="0.2">
      <c r="A55" s="11">
        <v>2135</v>
      </c>
      <c r="B55" s="12"/>
      <c r="C55" s="1">
        <v>5</v>
      </c>
      <c r="D55" s="1">
        <v>7</v>
      </c>
      <c r="E55" s="1">
        <v>7</v>
      </c>
      <c r="F55" s="1">
        <v>7</v>
      </c>
      <c r="G55" s="1">
        <v>3.5</v>
      </c>
      <c r="H55" s="1">
        <v>1017.5</v>
      </c>
      <c r="I55" s="1">
        <v>1043.7</v>
      </c>
      <c r="J55" s="1">
        <v>1027.3</v>
      </c>
      <c r="K55" s="1">
        <f t="shared" si="6"/>
        <v>26.200000000000045</v>
      </c>
      <c r="L55" s="1">
        <f t="shared" si="7"/>
        <v>9.7999999999999545</v>
      </c>
      <c r="M55" s="1">
        <f t="shared" si="8"/>
        <v>62.595419847328479</v>
      </c>
      <c r="N55" s="13">
        <v>0.39930555555555558</v>
      </c>
      <c r="O55" s="13">
        <v>0.625</v>
      </c>
      <c r="P55" s="14">
        <f t="shared" si="9"/>
        <v>0.22569444444444442</v>
      </c>
      <c r="Q55" s="15">
        <f t="shared" si="10"/>
        <v>324.99999999999994</v>
      </c>
      <c r="R55" s="14">
        <v>0.42638888888888887</v>
      </c>
      <c r="S55" s="14">
        <v>0.42638888888888887</v>
      </c>
      <c r="T55" s="14">
        <f t="shared" si="11"/>
        <v>0</v>
      </c>
      <c r="U55" s="15">
        <f t="shared" si="12"/>
        <v>0</v>
      </c>
    </row>
    <row r="56" spans="1:21" x14ac:dyDescent="0.2">
      <c r="A56" s="11">
        <v>2136</v>
      </c>
      <c r="B56" s="12"/>
      <c r="C56" s="1">
        <v>0</v>
      </c>
      <c r="D56" s="1">
        <v>0</v>
      </c>
      <c r="E56" s="1">
        <v>0</v>
      </c>
      <c r="F56" s="1">
        <v>1</v>
      </c>
      <c r="G56" s="1">
        <v>3</v>
      </c>
      <c r="H56" s="1">
        <v>1021.5</v>
      </c>
      <c r="I56" s="1">
        <v>1033.2</v>
      </c>
      <c r="J56" s="1">
        <v>1026.5</v>
      </c>
      <c r="K56" s="1">
        <f t="shared" si="6"/>
        <v>11.700000000000045</v>
      </c>
      <c r="L56" s="1">
        <f t="shared" si="7"/>
        <v>5</v>
      </c>
      <c r="M56" s="1">
        <f t="shared" si="8"/>
        <v>57.264957264957431</v>
      </c>
      <c r="N56" s="13">
        <v>0.39930555555555558</v>
      </c>
      <c r="O56" s="13">
        <v>0.60416666666666663</v>
      </c>
      <c r="P56" s="14">
        <v>0.33333333333333331</v>
      </c>
      <c r="Q56" s="15">
        <f t="shared" si="10"/>
        <v>480</v>
      </c>
      <c r="R56" s="14">
        <v>0.42916666666666664</v>
      </c>
      <c r="S56" s="14">
        <v>0.46180555555555558</v>
      </c>
      <c r="T56" s="14">
        <f t="shared" si="11"/>
        <v>3.2638888888888939E-2</v>
      </c>
      <c r="U56" s="15">
        <f t="shared" si="12"/>
        <v>47.000000000000071</v>
      </c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3"/>
      <c r="O57" s="13"/>
      <c r="P57" s="14"/>
      <c r="Q57" s="15"/>
      <c r="R57" s="14"/>
      <c r="S57" s="14"/>
      <c r="T57" s="14"/>
      <c r="U57" s="15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3"/>
      <c r="O58" s="13"/>
      <c r="P58" s="14"/>
      <c r="Q58" s="15"/>
      <c r="R58" s="14"/>
      <c r="S58" s="14"/>
      <c r="T58" s="14"/>
      <c r="U58" s="15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3"/>
      <c r="O59" s="14"/>
      <c r="P59" s="14"/>
      <c r="Q59" s="15"/>
      <c r="R59" s="14"/>
      <c r="S59" s="14"/>
      <c r="T59" s="14"/>
      <c r="U59" s="15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3"/>
      <c r="O60" s="25"/>
      <c r="P60" s="14"/>
      <c r="Q60" s="15"/>
      <c r="R60" s="25"/>
      <c r="S60" s="25"/>
      <c r="T60" s="14"/>
      <c r="U60" s="15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5"/>
      <c r="O61" s="25"/>
      <c r="P61" s="14"/>
      <c r="Q61" s="15"/>
      <c r="R61" s="25"/>
      <c r="S61" s="25"/>
      <c r="T61" s="14"/>
      <c r="U61" s="15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5"/>
      <c r="P62" s="14"/>
      <c r="Q62" s="15"/>
      <c r="R62" s="25"/>
      <c r="S62" s="25"/>
      <c r="T62" s="14"/>
      <c r="U62" s="15"/>
    </row>
    <row r="63" spans="1:2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5"/>
      <c r="O63" s="25"/>
      <c r="P63" s="14"/>
      <c r="Q63" s="15"/>
      <c r="R63" s="25"/>
      <c r="S63" s="25"/>
      <c r="T63" s="14"/>
      <c r="U63" s="15"/>
    </row>
    <row r="89" spans="1:21" x14ac:dyDescent="0.2">
      <c r="A89" s="1"/>
      <c r="B89" s="1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5"/>
      <c r="O90" s="25"/>
      <c r="P90" s="14"/>
      <c r="Q90" s="15"/>
      <c r="R90" s="25"/>
      <c r="S90" s="25"/>
      <c r="T90" s="14"/>
      <c r="U90" s="15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5"/>
      <c r="O91" s="25"/>
      <c r="P91" s="14"/>
      <c r="Q91" s="15"/>
      <c r="R91" s="25"/>
      <c r="S91" s="25"/>
      <c r="T91" s="14"/>
      <c r="U91" s="15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5"/>
      <c r="O92" s="25"/>
      <c r="P92" s="14"/>
      <c r="Q92" s="15"/>
      <c r="R92" s="25"/>
      <c r="S92" s="25"/>
      <c r="T92" s="14"/>
      <c r="U92" s="15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5"/>
      <c r="O93" s="25"/>
      <c r="P93" s="14"/>
      <c r="Q93" s="15"/>
      <c r="R93" s="25"/>
      <c r="S93" s="25"/>
      <c r="T93" s="14"/>
      <c r="U9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890F-CFE6-8045-B256-8BF98AB552EB}">
  <dimension ref="A1:G39"/>
  <sheetViews>
    <sheetView zoomScale="120" zoomScaleNormal="120" workbookViewId="0">
      <selection activeCell="A2" sqref="A2:E39"/>
    </sheetView>
  </sheetViews>
  <sheetFormatPr baseColWidth="10" defaultRowHeight="16" x14ac:dyDescent="0.2"/>
  <sheetData>
    <row r="1" spans="1:7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27">
        <v>5.38</v>
      </c>
      <c r="G2" s="1">
        <v>3.18</v>
      </c>
    </row>
    <row r="3" spans="1:7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27">
        <v>2.77</v>
      </c>
      <c r="G3" s="1">
        <v>2.9</v>
      </c>
    </row>
    <row r="4" spans="1:7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27">
        <v>2.83</v>
      </c>
      <c r="G4" s="1">
        <v>1.86</v>
      </c>
    </row>
    <row r="5" spans="1:7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27">
        <v>3.17</v>
      </c>
      <c r="G5" s="1">
        <v>2.2000000000000002</v>
      </c>
    </row>
    <row r="6" spans="1:7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27">
        <v>3.28</v>
      </c>
      <c r="G6" s="1">
        <v>2.46</v>
      </c>
    </row>
    <row r="7" spans="1:7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27">
        <v>3.53</v>
      </c>
      <c r="G7" s="1">
        <v>2.77</v>
      </c>
    </row>
    <row r="8" spans="1:7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27">
        <v>3.1</v>
      </c>
      <c r="G8" s="1">
        <v>2.6</v>
      </c>
    </row>
    <row r="9" spans="1:7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27">
        <v>4.33</v>
      </c>
      <c r="G9" s="1">
        <v>4.17</v>
      </c>
    </row>
    <row r="10" spans="1:7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27">
        <v>2.98</v>
      </c>
      <c r="G10" s="1">
        <v>2.31</v>
      </c>
    </row>
    <row r="11" spans="1:7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27">
        <v>60</v>
      </c>
      <c r="G11" s="1">
        <v>7.86</v>
      </c>
    </row>
    <row r="12" spans="1:7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27">
        <v>9.27</v>
      </c>
      <c r="G12" s="1">
        <v>4.07</v>
      </c>
    </row>
    <row r="13" spans="1:7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27">
        <v>5.64</v>
      </c>
      <c r="G13" s="1">
        <v>3.33</v>
      </c>
    </row>
    <row r="14" spans="1:7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27">
        <v>2.87</v>
      </c>
      <c r="G14" s="1">
        <v>2.85</v>
      </c>
    </row>
    <row r="15" spans="1:7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27">
        <v>5.82</v>
      </c>
      <c r="G15" s="1">
        <v>9.07</v>
      </c>
    </row>
    <row r="16" spans="1:7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27">
        <v>8.8699999999999992</v>
      </c>
      <c r="G16" s="1">
        <v>5.83</v>
      </c>
    </row>
    <row r="17" spans="1:7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27">
        <v>3.85</v>
      </c>
      <c r="G17" s="1">
        <v>4.37</v>
      </c>
    </row>
    <row r="18" spans="1:7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27">
        <v>8.9</v>
      </c>
      <c r="G18" s="1">
        <v>4.83</v>
      </c>
    </row>
    <row r="19" spans="1:7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27">
        <v>60</v>
      </c>
      <c r="G19" s="1">
        <v>5.57</v>
      </c>
    </row>
    <row r="20" spans="1:7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27">
        <v>8.6999999999999993</v>
      </c>
      <c r="G20" s="1">
        <v>5.15</v>
      </c>
    </row>
    <row r="21" spans="1:7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27">
        <v>18.48</v>
      </c>
      <c r="G21" s="1">
        <v>12.96</v>
      </c>
    </row>
    <row r="22" spans="1:7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7">
        <v>9.07</v>
      </c>
      <c r="G22" s="1">
        <v>60</v>
      </c>
    </row>
    <row r="23" spans="1:7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27">
        <v>5.12</v>
      </c>
      <c r="G23" s="1">
        <v>6.75</v>
      </c>
    </row>
    <row r="24" spans="1:7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27">
        <v>5.89</v>
      </c>
      <c r="G24" s="1">
        <v>6.84</v>
      </c>
    </row>
    <row r="25" spans="1:7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27">
        <v>2.83</v>
      </c>
      <c r="G25" s="1">
        <v>2.08</v>
      </c>
    </row>
    <row r="26" spans="1:7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27">
        <v>3.93</v>
      </c>
      <c r="G26" s="1">
        <v>1.78</v>
      </c>
    </row>
    <row r="27" spans="1:7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27">
        <v>4.05</v>
      </c>
      <c r="G27" s="1">
        <v>4.22</v>
      </c>
    </row>
    <row r="28" spans="1:7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27">
        <v>5.94</v>
      </c>
      <c r="G28" s="1">
        <v>2.72</v>
      </c>
    </row>
    <row r="29" spans="1:7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27">
        <v>4.43</v>
      </c>
      <c r="G29" s="1">
        <v>3.18</v>
      </c>
    </row>
    <row r="30" spans="1:7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27">
        <v>4</v>
      </c>
      <c r="G30" s="1">
        <v>2.97</v>
      </c>
    </row>
    <row r="31" spans="1:7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27">
        <v>4.55</v>
      </c>
      <c r="G31" s="1">
        <v>3.03</v>
      </c>
    </row>
    <row r="32" spans="1:7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27">
        <v>19.989999999999998</v>
      </c>
      <c r="G32" s="1">
        <v>9.66</v>
      </c>
    </row>
    <row r="33" spans="1:7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27">
        <v>27.95</v>
      </c>
      <c r="G33" s="1">
        <v>17.05</v>
      </c>
    </row>
    <row r="34" spans="1:7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27">
        <v>9.3699999999999992</v>
      </c>
      <c r="G34" s="1">
        <v>4.2300000000000004</v>
      </c>
    </row>
    <row r="35" spans="1:7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27">
        <v>60</v>
      </c>
      <c r="G35" s="1">
        <v>14.5</v>
      </c>
    </row>
    <row r="36" spans="1:7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27">
        <v>5</v>
      </c>
      <c r="G36" s="1">
        <v>3.7</v>
      </c>
    </row>
    <row r="37" spans="1:7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27">
        <v>11.76</v>
      </c>
      <c r="G37" s="1">
        <v>5.97</v>
      </c>
    </row>
    <row r="38" spans="1:7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27">
        <v>4.37</v>
      </c>
      <c r="G38" s="1">
        <v>2.58</v>
      </c>
    </row>
    <row r="39" spans="1:7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27">
        <v>12.35</v>
      </c>
      <c r="G39" s="1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90FD-284A-3949-BD2B-F11671CB5570}">
  <dimension ref="A1:Q39"/>
  <sheetViews>
    <sheetView zoomScale="120" zoomScaleNormal="120" workbookViewId="0">
      <selection activeCell="L17" sqref="L17"/>
    </sheetView>
  </sheetViews>
  <sheetFormatPr baseColWidth="10" defaultRowHeight="16" x14ac:dyDescent="0.2"/>
  <cols>
    <col min="1" max="16384" width="10.83203125" style="26"/>
  </cols>
  <sheetData>
    <row r="1" spans="1:9" x14ac:dyDescent="0.2">
      <c r="A1" s="26" t="s">
        <v>48</v>
      </c>
      <c r="B1" s="26" t="s">
        <v>2</v>
      </c>
      <c r="C1" s="26" t="s">
        <v>49</v>
      </c>
      <c r="D1" s="26" t="s">
        <v>50</v>
      </c>
      <c r="E1" s="26" t="s">
        <v>51</v>
      </c>
      <c r="F1" s="26" t="s">
        <v>56</v>
      </c>
      <c r="G1" s="26" t="s">
        <v>57</v>
      </c>
      <c r="H1" s="26" t="s">
        <v>58</v>
      </c>
      <c r="I1" s="26" t="s">
        <v>59</v>
      </c>
    </row>
    <row r="2" spans="1:9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27">
        <v>11</v>
      </c>
      <c r="G2" s="27">
        <v>10</v>
      </c>
      <c r="H2" s="27">
        <v>2</v>
      </c>
      <c r="I2" s="27">
        <v>2</v>
      </c>
    </row>
    <row r="3" spans="1:9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27">
        <v>11</v>
      </c>
      <c r="G3" s="27">
        <v>10</v>
      </c>
      <c r="H3" s="27">
        <v>6</v>
      </c>
      <c r="I3" s="27">
        <v>3</v>
      </c>
    </row>
    <row r="4" spans="1:9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27">
        <v>10</v>
      </c>
      <c r="G4" s="27">
        <v>9</v>
      </c>
      <c r="H4" s="27">
        <v>2</v>
      </c>
      <c r="I4" s="27">
        <v>1</v>
      </c>
    </row>
    <row r="5" spans="1:9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27">
        <v>12</v>
      </c>
      <c r="G5" s="27">
        <v>10</v>
      </c>
      <c r="H5" s="27">
        <v>5</v>
      </c>
      <c r="I5" s="27">
        <v>4</v>
      </c>
    </row>
    <row r="6" spans="1:9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27">
        <v>12</v>
      </c>
      <c r="G6" s="27">
        <v>11</v>
      </c>
      <c r="H6" s="27">
        <v>6</v>
      </c>
      <c r="I6" s="27">
        <v>3</v>
      </c>
    </row>
    <row r="7" spans="1:9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27">
        <v>10</v>
      </c>
      <c r="G7" s="27">
        <v>10</v>
      </c>
      <c r="H7" s="27">
        <v>5</v>
      </c>
      <c r="I7" s="27">
        <v>2</v>
      </c>
    </row>
    <row r="8" spans="1:9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27">
        <v>9</v>
      </c>
      <c r="G8" s="27">
        <v>10</v>
      </c>
      <c r="H8" s="27">
        <v>2</v>
      </c>
      <c r="I8" s="27">
        <v>3</v>
      </c>
    </row>
    <row r="9" spans="1:9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27">
        <v>9</v>
      </c>
      <c r="G9" s="27">
        <v>10</v>
      </c>
      <c r="H9" s="27">
        <v>3</v>
      </c>
      <c r="I9" s="27">
        <v>3</v>
      </c>
    </row>
    <row r="10" spans="1:9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27">
        <v>9</v>
      </c>
      <c r="G10" s="27">
        <v>9</v>
      </c>
      <c r="H10" s="27">
        <v>4</v>
      </c>
      <c r="I10" s="27">
        <v>2</v>
      </c>
    </row>
    <row r="11" spans="1:9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27">
        <v>10</v>
      </c>
      <c r="G11" s="27">
        <v>11</v>
      </c>
      <c r="H11" s="27">
        <v>7</v>
      </c>
      <c r="I11" s="27">
        <v>9</v>
      </c>
    </row>
    <row r="12" spans="1:9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27">
        <v>12</v>
      </c>
      <c r="G12" s="27">
        <v>11</v>
      </c>
      <c r="H12" s="27">
        <v>8</v>
      </c>
      <c r="I12" s="27">
        <v>5</v>
      </c>
    </row>
    <row r="13" spans="1:9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27">
        <v>11</v>
      </c>
      <c r="G13" s="27">
        <v>11</v>
      </c>
      <c r="H13" s="27">
        <v>3</v>
      </c>
      <c r="I13" s="27">
        <v>2</v>
      </c>
    </row>
    <row r="14" spans="1:9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27">
        <v>10</v>
      </c>
      <c r="G14" s="27">
        <v>10</v>
      </c>
      <c r="H14" s="27">
        <v>8</v>
      </c>
      <c r="I14" s="27">
        <v>4</v>
      </c>
    </row>
    <row r="15" spans="1:9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27"/>
      <c r="G15" s="27">
        <v>11</v>
      </c>
      <c r="H15" s="27"/>
      <c r="I15" s="27">
        <v>8</v>
      </c>
    </row>
    <row r="16" spans="1:9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27">
        <v>13</v>
      </c>
      <c r="G16" s="27">
        <v>13</v>
      </c>
      <c r="H16" s="27">
        <v>14</v>
      </c>
      <c r="I16" s="27">
        <v>8</v>
      </c>
    </row>
    <row r="17" spans="1:17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27">
        <v>12</v>
      </c>
      <c r="G17" s="27">
        <v>11</v>
      </c>
      <c r="H17" s="27">
        <v>10</v>
      </c>
      <c r="I17" s="27">
        <v>9</v>
      </c>
    </row>
    <row r="18" spans="1:17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27">
        <v>12</v>
      </c>
      <c r="G18" s="27">
        <v>11</v>
      </c>
      <c r="H18" s="27">
        <v>13</v>
      </c>
      <c r="I18" s="27">
        <v>11</v>
      </c>
    </row>
    <row r="19" spans="1:17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G19" s="27">
        <v>11</v>
      </c>
      <c r="I19" s="27">
        <v>7</v>
      </c>
    </row>
    <row r="20" spans="1:17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27">
        <v>11</v>
      </c>
      <c r="G20" s="27">
        <v>12</v>
      </c>
      <c r="H20" s="27">
        <v>7</v>
      </c>
      <c r="I20" s="27">
        <v>8</v>
      </c>
    </row>
    <row r="21" spans="1:17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27">
        <v>12</v>
      </c>
      <c r="G21" s="27">
        <v>12</v>
      </c>
      <c r="H21" s="27">
        <v>13</v>
      </c>
      <c r="I21" s="27">
        <v>15</v>
      </c>
    </row>
    <row r="22" spans="1:17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7">
        <v>12</v>
      </c>
      <c r="G22" s="27"/>
      <c r="H22" s="27">
        <v>7</v>
      </c>
      <c r="I22" s="27"/>
    </row>
    <row r="23" spans="1:17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27">
        <v>13</v>
      </c>
      <c r="G23" s="27">
        <v>11</v>
      </c>
      <c r="H23" s="27">
        <v>8</v>
      </c>
      <c r="I23" s="27">
        <v>9</v>
      </c>
    </row>
    <row r="24" spans="1:17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27">
        <v>11</v>
      </c>
      <c r="G24" s="27">
        <v>11</v>
      </c>
      <c r="H24" s="27">
        <v>3</v>
      </c>
      <c r="I24" s="27">
        <v>4</v>
      </c>
      <c r="J24" s="27"/>
      <c r="K24" s="27"/>
      <c r="L24" s="27"/>
      <c r="M24" s="27"/>
      <c r="N24" s="27"/>
      <c r="O24" s="27"/>
      <c r="P24" s="27"/>
      <c r="Q24" s="27"/>
    </row>
    <row r="25" spans="1:17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27">
        <v>10</v>
      </c>
      <c r="G25" s="27">
        <v>10</v>
      </c>
      <c r="H25" s="27">
        <v>3</v>
      </c>
      <c r="I25" s="27">
        <v>3</v>
      </c>
      <c r="J25" s="27"/>
      <c r="K25" s="27"/>
      <c r="L25" s="27"/>
      <c r="M25" s="27"/>
      <c r="N25" s="27"/>
      <c r="O25" s="27"/>
      <c r="P25" s="27"/>
      <c r="Q25" s="27"/>
    </row>
    <row r="26" spans="1:17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27">
        <v>11</v>
      </c>
      <c r="G26" s="27">
        <v>9</v>
      </c>
      <c r="H26" s="27">
        <v>7</v>
      </c>
      <c r="I26" s="27">
        <v>6</v>
      </c>
      <c r="N26" s="27"/>
      <c r="Q26" s="27"/>
    </row>
    <row r="27" spans="1:17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27">
        <v>10</v>
      </c>
      <c r="G27" s="27">
        <v>10</v>
      </c>
      <c r="H27" s="27">
        <v>3</v>
      </c>
      <c r="I27" s="27">
        <v>4</v>
      </c>
      <c r="N27" s="27"/>
      <c r="Q27" s="27"/>
    </row>
    <row r="28" spans="1:17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27">
        <v>11</v>
      </c>
      <c r="G28" s="27">
        <v>11</v>
      </c>
      <c r="H28" s="27">
        <v>5</v>
      </c>
      <c r="I28" s="27">
        <v>3</v>
      </c>
      <c r="N28" s="27"/>
      <c r="Q28" s="27"/>
    </row>
    <row r="29" spans="1:17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27">
        <v>11</v>
      </c>
      <c r="G29" s="27">
        <v>10</v>
      </c>
      <c r="H29" s="27">
        <v>2</v>
      </c>
      <c r="I29" s="27">
        <v>2</v>
      </c>
      <c r="N29" s="27"/>
      <c r="Q29" s="27"/>
    </row>
    <row r="30" spans="1:17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27">
        <v>10</v>
      </c>
      <c r="G30" s="27">
        <v>10</v>
      </c>
      <c r="H30" s="27">
        <v>5</v>
      </c>
      <c r="I30" s="27">
        <v>1</v>
      </c>
      <c r="N30" s="27"/>
      <c r="Q30" s="27"/>
    </row>
    <row r="31" spans="1:17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27">
        <v>12</v>
      </c>
      <c r="G31" s="27">
        <v>10</v>
      </c>
      <c r="H31" s="27">
        <v>4</v>
      </c>
      <c r="I31" s="27">
        <v>5</v>
      </c>
      <c r="N31" s="27"/>
      <c r="Q31" s="27"/>
    </row>
    <row r="32" spans="1:17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27">
        <v>12</v>
      </c>
      <c r="G32" s="27">
        <v>13</v>
      </c>
      <c r="H32" s="27">
        <v>10</v>
      </c>
      <c r="I32" s="27">
        <v>12</v>
      </c>
      <c r="N32" s="27"/>
      <c r="Q32" s="27"/>
    </row>
    <row r="33" spans="1:17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27">
        <v>12</v>
      </c>
      <c r="G33" s="27">
        <v>13</v>
      </c>
      <c r="H33" s="27">
        <v>10</v>
      </c>
      <c r="I33" s="27">
        <v>6</v>
      </c>
      <c r="N33" s="27"/>
      <c r="Q33" s="27"/>
    </row>
    <row r="34" spans="1:17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27">
        <v>15</v>
      </c>
      <c r="G34" s="27">
        <v>12</v>
      </c>
      <c r="H34" s="27">
        <v>12</v>
      </c>
      <c r="I34" s="27">
        <v>7</v>
      </c>
      <c r="N34" s="27"/>
      <c r="Q34" s="27"/>
    </row>
    <row r="35" spans="1:17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27"/>
      <c r="G35" s="27">
        <v>13</v>
      </c>
      <c r="H35" s="27"/>
      <c r="I35" s="27">
        <v>7</v>
      </c>
      <c r="N35" s="27"/>
      <c r="Q35" s="27"/>
    </row>
    <row r="36" spans="1:17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27">
        <v>13</v>
      </c>
      <c r="G36" s="27">
        <v>12</v>
      </c>
      <c r="H36" s="27">
        <v>8</v>
      </c>
      <c r="I36" s="27">
        <v>8</v>
      </c>
      <c r="N36" s="27"/>
      <c r="Q36" s="27"/>
    </row>
    <row r="37" spans="1:17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27">
        <v>11</v>
      </c>
      <c r="G37" s="27">
        <v>12</v>
      </c>
      <c r="H37" s="27">
        <v>9</v>
      </c>
      <c r="I37" s="27">
        <v>8</v>
      </c>
      <c r="N37" s="27"/>
      <c r="Q37" s="27"/>
    </row>
    <row r="38" spans="1:17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27">
        <v>12</v>
      </c>
      <c r="G38" s="27">
        <v>12</v>
      </c>
      <c r="H38" s="27">
        <v>4</v>
      </c>
      <c r="I38" s="27">
        <v>4</v>
      </c>
      <c r="N38" s="27"/>
      <c r="Q38" s="27"/>
    </row>
    <row r="39" spans="1:17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27">
        <v>13</v>
      </c>
      <c r="G39" s="27">
        <v>13</v>
      </c>
      <c r="H39" s="27">
        <v>6</v>
      </c>
      <c r="I39" s="2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F8FB-A5D7-6F4B-A500-C45A02C590FD}">
  <dimension ref="A1:G39"/>
  <sheetViews>
    <sheetView zoomScale="120" zoomScaleNormal="120" workbookViewId="0">
      <selection activeCell="F27" sqref="A1:G39"/>
    </sheetView>
  </sheetViews>
  <sheetFormatPr baseColWidth="10" defaultRowHeight="16" x14ac:dyDescent="0.2"/>
  <sheetData>
    <row r="1" spans="1:7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4.9000000000000004</v>
      </c>
      <c r="G2" s="1">
        <v>4.82</v>
      </c>
    </row>
    <row r="3" spans="1:7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6.62</v>
      </c>
      <c r="G3" s="1">
        <v>5.62</v>
      </c>
    </row>
    <row r="4" spans="1:7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4.59</v>
      </c>
      <c r="G4" s="1">
        <v>4.29</v>
      </c>
    </row>
    <row r="5" spans="1:7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5.27</v>
      </c>
      <c r="G5" s="1">
        <v>5.59</v>
      </c>
    </row>
    <row r="6" spans="1:7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6.69</v>
      </c>
      <c r="G6" s="1">
        <v>8.86</v>
      </c>
    </row>
    <row r="7" spans="1:7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3.94</v>
      </c>
      <c r="G7" s="1">
        <v>3.67</v>
      </c>
    </row>
    <row r="8" spans="1:7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4.09</v>
      </c>
      <c r="G8" s="1">
        <v>3.27</v>
      </c>
    </row>
    <row r="9" spans="1:7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6.24</v>
      </c>
      <c r="G9" s="1">
        <v>7.16</v>
      </c>
    </row>
    <row r="10" spans="1:7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5.45</v>
      </c>
      <c r="G10" s="1">
        <v>4.95</v>
      </c>
    </row>
    <row r="11" spans="1:7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9.19</v>
      </c>
      <c r="G11" s="1">
        <v>17.86</v>
      </c>
    </row>
    <row r="12" spans="1:7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">
        <v>5.77</v>
      </c>
      <c r="G12" s="1">
        <v>4.57</v>
      </c>
    </row>
    <row r="13" spans="1:7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10.75</v>
      </c>
      <c r="G13" s="1">
        <v>10.11</v>
      </c>
    </row>
    <row r="14" spans="1:7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9.01</v>
      </c>
      <c r="G14" s="1">
        <v>5.05</v>
      </c>
    </row>
    <row r="15" spans="1:7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10.95</v>
      </c>
      <c r="G15" s="1">
        <v>14.54</v>
      </c>
    </row>
    <row r="16" spans="1:7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4.9000000000000004</v>
      </c>
      <c r="G16" s="1">
        <v>17.350000000000001</v>
      </c>
    </row>
    <row r="17" spans="1:7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4.0199999999999996</v>
      </c>
      <c r="G17" s="1">
        <v>2.67</v>
      </c>
    </row>
    <row r="18" spans="1:7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5.25</v>
      </c>
      <c r="G18" s="1">
        <v>3.65</v>
      </c>
    </row>
    <row r="19" spans="1:7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4.3499999999999996</v>
      </c>
      <c r="G19" s="1">
        <v>3.9</v>
      </c>
    </row>
    <row r="20" spans="1:7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5.24</v>
      </c>
      <c r="G20" s="1">
        <v>4.6500000000000004</v>
      </c>
    </row>
    <row r="21" spans="1:7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4.67</v>
      </c>
      <c r="G21" s="1">
        <v>2.78</v>
      </c>
    </row>
    <row r="22" spans="1:7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1">
        <v>8.86</v>
      </c>
      <c r="G22" s="1">
        <v>8.58</v>
      </c>
    </row>
    <row r="23" spans="1:7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6.17</v>
      </c>
      <c r="G23" s="1">
        <v>3.85</v>
      </c>
    </row>
    <row r="24" spans="1:7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5.56</v>
      </c>
      <c r="G24" s="1">
        <v>5.54</v>
      </c>
    </row>
    <row r="25" spans="1:7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4.99</v>
      </c>
      <c r="G25" s="1">
        <v>3.29</v>
      </c>
    </row>
    <row r="26" spans="1:7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3.1</v>
      </c>
      <c r="G26" s="1">
        <v>2.83</v>
      </c>
    </row>
    <row r="27" spans="1:7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4.22</v>
      </c>
      <c r="G27" s="1">
        <v>3.02</v>
      </c>
    </row>
    <row r="28" spans="1:7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>
        <v>4.0199999999999996</v>
      </c>
      <c r="G28" s="1">
        <v>3.07</v>
      </c>
    </row>
    <row r="29" spans="1:7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3.73</v>
      </c>
      <c r="G29" s="1">
        <v>3.82</v>
      </c>
    </row>
    <row r="30" spans="1:7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4.6500000000000004</v>
      </c>
      <c r="G30" s="1">
        <v>3.13</v>
      </c>
    </row>
    <row r="31" spans="1:7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5.77</v>
      </c>
      <c r="G31" s="1">
        <v>6.09</v>
      </c>
    </row>
    <row r="32" spans="1:7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14.18</v>
      </c>
      <c r="G32" s="1">
        <v>11.01</v>
      </c>
    </row>
    <row r="33" spans="1:7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8.74</v>
      </c>
      <c r="G33" s="1">
        <v>4.8899999999999997</v>
      </c>
    </row>
    <row r="34" spans="1:7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5.25</v>
      </c>
      <c r="G34" s="1">
        <v>4.57</v>
      </c>
    </row>
    <row r="35" spans="1:7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9.2100000000000009</v>
      </c>
      <c r="G35" s="1">
        <v>4.8899999999999997</v>
      </c>
    </row>
    <row r="36" spans="1:7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5.32</v>
      </c>
      <c r="G36" s="1">
        <v>6.87</v>
      </c>
    </row>
    <row r="37" spans="1:7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">
        <v>13.47</v>
      </c>
      <c r="G37" s="1">
        <v>7.07</v>
      </c>
    </row>
    <row r="38" spans="1:7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4.75</v>
      </c>
      <c r="G38" s="1">
        <v>2.9</v>
      </c>
    </row>
    <row r="39" spans="1:7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4.8499999999999996</v>
      </c>
      <c r="G39" s="1">
        <v>4.42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E74-DC4B-214A-A655-E3855BDC23F7}">
  <dimension ref="A1:F39"/>
  <sheetViews>
    <sheetView workbookViewId="0">
      <selection activeCell="F27" sqref="A1:F39"/>
    </sheetView>
  </sheetViews>
  <sheetFormatPr baseColWidth="10" defaultRowHeight="16" x14ac:dyDescent="0.2"/>
  <sheetData>
    <row r="1" spans="1:6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3.24</v>
      </c>
    </row>
    <row r="3" spans="1:6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60</v>
      </c>
    </row>
    <row r="4" spans="1:6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60</v>
      </c>
    </row>
    <row r="5" spans="1:6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35.46</v>
      </c>
    </row>
    <row r="6" spans="1:6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60</v>
      </c>
    </row>
    <row r="7" spans="1:6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26.69</v>
      </c>
    </row>
    <row r="8" spans="1:6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6.76</v>
      </c>
    </row>
    <row r="9" spans="1:6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8.5399999999999991</v>
      </c>
    </row>
    <row r="10" spans="1:6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15.29</v>
      </c>
    </row>
    <row r="11" spans="1:6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14.39</v>
      </c>
    </row>
    <row r="12" spans="1:6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">
        <v>8.0399999999999991</v>
      </c>
    </row>
    <row r="13" spans="1:6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21.49</v>
      </c>
    </row>
    <row r="14" spans="1:6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5.92</v>
      </c>
    </row>
    <row r="15" spans="1:6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3.99</v>
      </c>
    </row>
    <row r="16" spans="1:6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11.25</v>
      </c>
    </row>
    <row r="17" spans="1:6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1.53</v>
      </c>
    </row>
    <row r="18" spans="1:6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1.25</v>
      </c>
    </row>
    <row r="19" spans="1:6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1.32</v>
      </c>
    </row>
    <row r="20" spans="1:6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11.17</v>
      </c>
    </row>
    <row r="21" spans="1:6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1.72</v>
      </c>
    </row>
    <row r="22" spans="1:6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7"/>
    </row>
    <row r="23" spans="1:6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31.67</v>
      </c>
    </row>
    <row r="24" spans="1:6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10.98</v>
      </c>
    </row>
    <row r="25" spans="1:6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20.97</v>
      </c>
    </row>
    <row r="26" spans="1:6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9.41</v>
      </c>
    </row>
    <row r="27" spans="1:6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11.67</v>
      </c>
    </row>
    <row r="28" spans="1:6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1">
        <v>20.13</v>
      </c>
    </row>
    <row r="29" spans="1:6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60</v>
      </c>
    </row>
    <row r="30" spans="1:6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12.9</v>
      </c>
    </row>
    <row r="31" spans="1:6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6.69</v>
      </c>
    </row>
    <row r="32" spans="1:6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15.5</v>
      </c>
    </row>
    <row r="33" spans="1:6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3.3</v>
      </c>
    </row>
    <row r="34" spans="1:6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8.76</v>
      </c>
    </row>
    <row r="35" spans="1:6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4.18</v>
      </c>
    </row>
    <row r="36" spans="1:6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6.81</v>
      </c>
    </row>
    <row r="37" spans="1:6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">
        <v>7.59</v>
      </c>
    </row>
    <row r="38" spans="1:6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6.96</v>
      </c>
    </row>
    <row r="39" spans="1:6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5.32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BFDF-A3E0-4C44-B0DB-E582DF645479}">
  <dimension ref="A1:G39"/>
  <sheetViews>
    <sheetView workbookViewId="0">
      <selection activeCell="F22" sqref="A1:G39"/>
    </sheetView>
  </sheetViews>
  <sheetFormatPr baseColWidth="10" defaultRowHeight="16" x14ac:dyDescent="0.2"/>
  <sheetData>
    <row r="1" spans="1:7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1.06</v>
      </c>
      <c r="G2" s="1">
        <v>1.1299999999999999</v>
      </c>
    </row>
    <row r="3" spans="1:7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1.33</v>
      </c>
      <c r="G3" s="1">
        <v>1.4</v>
      </c>
    </row>
    <row r="4" spans="1:7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1.97</v>
      </c>
      <c r="G4" s="1">
        <v>2.23</v>
      </c>
    </row>
    <row r="5" spans="1:7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1.8</v>
      </c>
      <c r="G5" s="1">
        <v>2.72</v>
      </c>
    </row>
    <row r="6" spans="1:7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1.63</v>
      </c>
      <c r="G6" s="1">
        <v>3.09</v>
      </c>
    </row>
    <row r="7" spans="1:7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1.7</v>
      </c>
      <c r="G7" s="1">
        <v>1.35</v>
      </c>
    </row>
    <row r="8" spans="1:7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2.65</v>
      </c>
      <c r="G8" s="1">
        <v>1.32</v>
      </c>
    </row>
    <row r="9" spans="1:7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1.53</v>
      </c>
      <c r="G9" s="1">
        <v>0.98</v>
      </c>
    </row>
    <row r="10" spans="1:7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0.96</v>
      </c>
      <c r="G10" s="1">
        <v>1.21</v>
      </c>
    </row>
    <row r="11" spans="1:7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1.53</v>
      </c>
      <c r="G11" s="1">
        <v>2.5499999999999998</v>
      </c>
    </row>
    <row r="12" spans="1:7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">
        <v>7.33</v>
      </c>
      <c r="G12" s="1">
        <v>3.95</v>
      </c>
    </row>
    <row r="13" spans="1:7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7.73</v>
      </c>
      <c r="G13" s="1">
        <v>3.45</v>
      </c>
    </row>
    <row r="14" spans="1:7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1.03</v>
      </c>
      <c r="G14" s="1">
        <v>2.2200000000000002</v>
      </c>
    </row>
    <row r="15" spans="1:7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1.77</v>
      </c>
      <c r="G15" s="1">
        <v>2.48</v>
      </c>
    </row>
    <row r="16" spans="1:7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6.39</v>
      </c>
      <c r="G16" s="1">
        <v>14.27</v>
      </c>
    </row>
    <row r="17" spans="1:7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2.95</v>
      </c>
      <c r="G17" s="1">
        <v>1.38</v>
      </c>
    </row>
    <row r="18" spans="1:7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6.49</v>
      </c>
      <c r="G18" s="1">
        <v>2.12</v>
      </c>
    </row>
    <row r="19" spans="1:7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6.36</v>
      </c>
      <c r="G19" s="1">
        <v>26.23</v>
      </c>
    </row>
    <row r="20" spans="1:7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2.87</v>
      </c>
      <c r="G20" s="1">
        <v>30</v>
      </c>
    </row>
    <row r="21" spans="1:7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2.95</v>
      </c>
      <c r="G21" s="1">
        <v>12.77</v>
      </c>
    </row>
    <row r="22" spans="1:7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7"/>
      <c r="G22" s="27"/>
    </row>
    <row r="23" spans="1:7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1.87</v>
      </c>
      <c r="G23" s="1">
        <v>11.07</v>
      </c>
    </row>
    <row r="24" spans="1:7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1.75</v>
      </c>
      <c r="G24" s="1">
        <v>3.27</v>
      </c>
    </row>
    <row r="25" spans="1:7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1.01</v>
      </c>
      <c r="G25" s="1">
        <v>1.62</v>
      </c>
    </row>
    <row r="26" spans="1:7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1.65</v>
      </c>
      <c r="G26" s="1">
        <v>1.23</v>
      </c>
    </row>
    <row r="27" spans="1:7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3.03</v>
      </c>
      <c r="G27" s="1">
        <v>3.23</v>
      </c>
    </row>
    <row r="28" spans="1:7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1">
        <v>1.1599999999999999</v>
      </c>
      <c r="G28" s="1">
        <v>3.3</v>
      </c>
    </row>
    <row r="29" spans="1:7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2.33</v>
      </c>
      <c r="G29" s="1">
        <v>2.0299999999999998</v>
      </c>
    </row>
    <row r="30" spans="1:7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1.96</v>
      </c>
      <c r="G30" s="1">
        <v>1.01</v>
      </c>
    </row>
    <row r="31" spans="1:7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2.3199999999999998</v>
      </c>
      <c r="G31" s="1">
        <v>1.71</v>
      </c>
    </row>
    <row r="32" spans="1:7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4.4000000000000004</v>
      </c>
      <c r="G32" s="1">
        <v>17.12</v>
      </c>
    </row>
    <row r="33" spans="1:7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4.99</v>
      </c>
      <c r="G33" s="1">
        <v>3.37</v>
      </c>
    </row>
    <row r="34" spans="1:7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6.16</v>
      </c>
      <c r="G34" s="1">
        <v>4.3499999999999996</v>
      </c>
    </row>
    <row r="35" spans="1:7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6.16</v>
      </c>
      <c r="G35" s="1">
        <v>8.01</v>
      </c>
    </row>
    <row r="36" spans="1:7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3.84</v>
      </c>
      <c r="G36" s="1">
        <v>2.7</v>
      </c>
    </row>
    <row r="37" spans="1:7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">
        <v>3.57</v>
      </c>
      <c r="G37" s="1">
        <v>2.37</v>
      </c>
    </row>
    <row r="38" spans="1:7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2.13</v>
      </c>
      <c r="G38" s="1">
        <v>5.56</v>
      </c>
    </row>
    <row r="39" spans="1:7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7.62</v>
      </c>
      <c r="G39" s="1">
        <v>1.92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F27B-BF48-044A-BDE8-EBB2C2382793}">
  <dimension ref="A1:G39"/>
  <sheetViews>
    <sheetView workbookViewId="0">
      <selection activeCell="A2" sqref="A1:XFD1048576"/>
    </sheetView>
  </sheetViews>
  <sheetFormatPr baseColWidth="10" defaultRowHeight="16" x14ac:dyDescent="0.2"/>
  <sheetData>
    <row r="1" spans="1:7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</row>
    <row r="2" spans="1:7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0</v>
      </c>
      <c r="G2" s="1"/>
    </row>
    <row r="3" spans="1:7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0</v>
      </c>
      <c r="G3" s="1"/>
    </row>
    <row r="4" spans="1:7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1</v>
      </c>
      <c r="G4" s="1"/>
    </row>
    <row r="5" spans="1:7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0</v>
      </c>
      <c r="G5" s="1"/>
    </row>
    <row r="6" spans="1:7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0</v>
      </c>
      <c r="G6" s="1"/>
    </row>
    <row r="7" spans="1:7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1</v>
      </c>
      <c r="G7" s="1"/>
    </row>
    <row r="8" spans="1:7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0</v>
      </c>
      <c r="G8" s="1"/>
    </row>
    <row r="9" spans="1:7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1.5</v>
      </c>
      <c r="G9" s="1"/>
    </row>
    <row r="10" spans="1:7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0.5</v>
      </c>
      <c r="G10" s="1"/>
    </row>
    <row r="11" spans="1:7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2</v>
      </c>
      <c r="G11" s="1"/>
    </row>
    <row r="12" spans="1:7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">
        <v>2</v>
      </c>
      <c r="G12" s="1"/>
    </row>
    <row r="13" spans="1:7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1.5</v>
      </c>
      <c r="G13" s="1"/>
    </row>
    <row r="14" spans="1:7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2.5</v>
      </c>
      <c r="G14" s="1"/>
    </row>
    <row r="15" spans="1:7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3</v>
      </c>
      <c r="G15" s="1"/>
    </row>
    <row r="16" spans="1:7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1.5</v>
      </c>
      <c r="G16" s="1"/>
    </row>
    <row r="17" spans="1:7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2.5</v>
      </c>
      <c r="G17" s="1"/>
    </row>
    <row r="18" spans="1:7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2.5</v>
      </c>
      <c r="G18" s="1"/>
    </row>
    <row r="19" spans="1:7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1.5</v>
      </c>
      <c r="G19" s="1"/>
    </row>
    <row r="20" spans="1:7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0</v>
      </c>
      <c r="G20" s="1"/>
    </row>
    <row r="21" spans="1:7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1.5</v>
      </c>
      <c r="G21" s="1"/>
    </row>
    <row r="22" spans="1:7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7"/>
      <c r="G22" s="27"/>
    </row>
    <row r="23" spans="1:7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1.5</v>
      </c>
      <c r="G23" s="1"/>
    </row>
    <row r="24" spans="1:7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2</v>
      </c>
      <c r="G24" s="1"/>
    </row>
    <row r="25" spans="1:7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1</v>
      </c>
      <c r="G25" s="1"/>
    </row>
    <row r="26" spans="1:7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3</v>
      </c>
      <c r="G26" s="1"/>
    </row>
    <row r="27" spans="1:7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0</v>
      </c>
      <c r="G27" s="1"/>
    </row>
    <row r="28" spans="1:7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1">
        <v>0</v>
      </c>
      <c r="G28" s="1"/>
    </row>
    <row r="29" spans="1:7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2</v>
      </c>
      <c r="G29" s="1"/>
    </row>
    <row r="30" spans="1:7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1</v>
      </c>
      <c r="G30" s="1"/>
    </row>
    <row r="31" spans="1:7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0</v>
      </c>
      <c r="G31" s="1"/>
    </row>
    <row r="32" spans="1:7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2.5</v>
      </c>
      <c r="G32" s="1"/>
    </row>
    <row r="33" spans="1:7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2.5</v>
      </c>
      <c r="G33" s="1"/>
    </row>
    <row r="34" spans="1:7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2</v>
      </c>
      <c r="G34" s="1"/>
    </row>
    <row r="35" spans="1:7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1</v>
      </c>
      <c r="G35" s="1"/>
    </row>
    <row r="36" spans="1:7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1</v>
      </c>
      <c r="G36" s="1"/>
    </row>
    <row r="37" spans="1:7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">
        <v>1.5</v>
      </c>
      <c r="G37" s="1"/>
    </row>
    <row r="38" spans="1:7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1.5</v>
      </c>
      <c r="G38" s="1"/>
    </row>
    <row r="39" spans="1:7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1</v>
      </c>
      <c r="G3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4829-18AD-3540-A448-70C93C6A7609}">
  <dimension ref="A1:I39"/>
  <sheetViews>
    <sheetView workbookViewId="0">
      <selection activeCell="I22" sqref="F22:I22"/>
    </sheetView>
  </sheetViews>
  <sheetFormatPr baseColWidth="10" defaultRowHeight="16" x14ac:dyDescent="0.2"/>
  <sheetData>
    <row r="1" spans="1:9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4</v>
      </c>
      <c r="G2" s="1">
        <v>6</v>
      </c>
      <c r="H2" s="1">
        <v>6</v>
      </c>
      <c r="I2" s="1">
        <v>6</v>
      </c>
    </row>
    <row r="3" spans="1:9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11</v>
      </c>
      <c r="G3" s="1">
        <v>11</v>
      </c>
      <c r="H3" s="1">
        <v>12</v>
      </c>
      <c r="I3" s="1">
        <v>12</v>
      </c>
    </row>
    <row r="4" spans="1:9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10</v>
      </c>
      <c r="G4" s="1">
        <v>13</v>
      </c>
      <c r="H4" s="1">
        <v>13</v>
      </c>
      <c r="I4" s="1">
        <v>13</v>
      </c>
    </row>
    <row r="5" spans="1:9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5</v>
      </c>
      <c r="G5" s="1">
        <v>6</v>
      </c>
      <c r="H5" s="1">
        <v>6</v>
      </c>
      <c r="I5" s="1">
        <v>6</v>
      </c>
    </row>
    <row r="6" spans="1:9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7</v>
      </c>
      <c r="G6" s="1">
        <v>9</v>
      </c>
      <c r="H6" s="1">
        <v>9</v>
      </c>
      <c r="I6" s="1">
        <v>9</v>
      </c>
    </row>
    <row r="7" spans="1:9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8</v>
      </c>
      <c r="G7" s="1">
        <v>10</v>
      </c>
      <c r="H7" s="1">
        <v>10</v>
      </c>
      <c r="I7" s="1">
        <v>10</v>
      </c>
    </row>
    <row r="8" spans="1:9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11</v>
      </c>
      <c r="G8" s="1">
        <v>11</v>
      </c>
      <c r="H8" s="1">
        <v>11</v>
      </c>
      <c r="I8" s="1">
        <v>11</v>
      </c>
    </row>
    <row r="9" spans="1:9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10</v>
      </c>
      <c r="G9" s="1">
        <v>11</v>
      </c>
      <c r="H9" s="1">
        <v>11</v>
      </c>
      <c r="I9" s="1">
        <v>11</v>
      </c>
    </row>
    <row r="10" spans="1:9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8</v>
      </c>
      <c r="G10" s="1">
        <v>8</v>
      </c>
      <c r="H10" s="1">
        <v>8</v>
      </c>
      <c r="I10" s="1">
        <v>8</v>
      </c>
    </row>
    <row r="11" spans="1:9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1</v>
      </c>
      <c r="G11" s="1">
        <v>6</v>
      </c>
      <c r="H11" s="1">
        <v>6</v>
      </c>
      <c r="I11" s="1">
        <v>7</v>
      </c>
    </row>
    <row r="12" spans="1:9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7">
        <v>0</v>
      </c>
      <c r="G12" s="17">
        <v>2</v>
      </c>
      <c r="H12" s="17">
        <v>2</v>
      </c>
      <c r="I12" s="17">
        <v>2</v>
      </c>
    </row>
    <row r="13" spans="1:9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3</v>
      </c>
      <c r="G13" s="1">
        <v>5</v>
      </c>
      <c r="H13" s="1">
        <v>10</v>
      </c>
      <c r="I13" s="1">
        <v>10</v>
      </c>
    </row>
    <row r="14" spans="1:9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0</v>
      </c>
      <c r="G14" s="1">
        <v>5</v>
      </c>
      <c r="H14" s="1">
        <v>5</v>
      </c>
      <c r="I14" s="1">
        <v>5</v>
      </c>
    </row>
    <row r="15" spans="1:9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6</v>
      </c>
      <c r="G15" s="1">
        <v>7</v>
      </c>
      <c r="H15" s="1">
        <v>10</v>
      </c>
      <c r="I15" s="1">
        <v>10</v>
      </c>
    </row>
    <row r="16" spans="1:9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7</v>
      </c>
      <c r="G16" s="1">
        <v>10</v>
      </c>
      <c r="H16" s="1">
        <v>11</v>
      </c>
      <c r="I16" s="1">
        <v>13</v>
      </c>
    </row>
    <row r="17" spans="1:9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7</v>
      </c>
      <c r="G17" s="1">
        <v>7</v>
      </c>
      <c r="H17" s="1">
        <v>9</v>
      </c>
      <c r="I17" s="1">
        <v>12</v>
      </c>
    </row>
    <row r="18" spans="1:9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7</v>
      </c>
      <c r="G18" s="1">
        <v>9</v>
      </c>
      <c r="H18" s="1">
        <v>9</v>
      </c>
      <c r="I18" s="1">
        <v>10</v>
      </c>
    </row>
    <row r="19" spans="1:9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5</v>
      </c>
      <c r="G19" s="1">
        <v>8</v>
      </c>
      <c r="H19" s="1">
        <v>8</v>
      </c>
      <c r="I19" s="1">
        <v>8</v>
      </c>
    </row>
    <row r="20" spans="1:9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3</v>
      </c>
      <c r="G20" s="1">
        <v>6</v>
      </c>
      <c r="H20" s="1">
        <v>6</v>
      </c>
      <c r="I20" s="1">
        <v>6</v>
      </c>
    </row>
    <row r="21" spans="1:9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6</v>
      </c>
      <c r="G21" s="1">
        <v>7</v>
      </c>
      <c r="H21" s="1">
        <v>8</v>
      </c>
      <c r="I21" s="1">
        <v>13</v>
      </c>
    </row>
    <row r="22" spans="1:9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6"/>
      <c r="G22" s="26"/>
      <c r="H22" s="26"/>
      <c r="I22" s="26"/>
    </row>
    <row r="23" spans="1:9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3</v>
      </c>
      <c r="G23" s="1">
        <v>8</v>
      </c>
      <c r="H23" s="1">
        <v>9</v>
      </c>
      <c r="I23" s="1">
        <v>13</v>
      </c>
    </row>
    <row r="24" spans="1:9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2</v>
      </c>
      <c r="G24" s="1">
        <v>5</v>
      </c>
      <c r="H24" s="1">
        <v>5</v>
      </c>
      <c r="I24" s="1">
        <v>7</v>
      </c>
    </row>
    <row r="25" spans="1:9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6</v>
      </c>
      <c r="G26" s="1">
        <v>7</v>
      </c>
      <c r="H26" s="1">
        <v>9</v>
      </c>
      <c r="I26" s="1">
        <v>10</v>
      </c>
    </row>
    <row r="27" spans="1:9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4</v>
      </c>
      <c r="G27" s="1">
        <v>8</v>
      </c>
      <c r="H27" s="1">
        <v>7</v>
      </c>
      <c r="I27" s="1">
        <v>8</v>
      </c>
    </row>
    <row r="28" spans="1:9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1">
        <v>3</v>
      </c>
      <c r="G28" s="1">
        <v>3</v>
      </c>
      <c r="H28" s="1">
        <v>4</v>
      </c>
      <c r="I28" s="1">
        <v>8</v>
      </c>
    </row>
    <row r="29" spans="1:9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2</v>
      </c>
      <c r="G29" s="1">
        <v>2</v>
      </c>
      <c r="H29" s="1">
        <v>2</v>
      </c>
      <c r="I29" s="1">
        <v>2</v>
      </c>
    </row>
    <row r="30" spans="1:9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3</v>
      </c>
      <c r="G30" s="1">
        <v>3</v>
      </c>
      <c r="H30" s="1">
        <v>3</v>
      </c>
      <c r="I30" s="1">
        <v>3</v>
      </c>
    </row>
    <row r="31" spans="1:9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3</v>
      </c>
      <c r="G31" s="1">
        <v>4</v>
      </c>
      <c r="H31" s="1">
        <v>5</v>
      </c>
      <c r="I31" s="1">
        <v>6</v>
      </c>
    </row>
    <row r="32" spans="1:9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4</v>
      </c>
      <c r="G32" s="1">
        <v>6</v>
      </c>
      <c r="H32" s="1">
        <v>6</v>
      </c>
      <c r="I32" s="1">
        <v>6</v>
      </c>
    </row>
    <row r="33" spans="1:9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2</v>
      </c>
      <c r="G33" s="1">
        <v>5</v>
      </c>
      <c r="H33" s="1">
        <v>6</v>
      </c>
      <c r="I33" s="1">
        <v>7</v>
      </c>
    </row>
    <row r="34" spans="1:9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5</v>
      </c>
      <c r="G34" s="1">
        <v>8</v>
      </c>
      <c r="H34" s="1">
        <v>8</v>
      </c>
      <c r="I34" s="1">
        <v>10</v>
      </c>
    </row>
    <row r="35" spans="1:9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4</v>
      </c>
      <c r="G35" s="1">
        <v>5</v>
      </c>
      <c r="H35" s="1">
        <v>5</v>
      </c>
      <c r="I35" s="1">
        <v>7</v>
      </c>
    </row>
    <row r="36" spans="1:9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4</v>
      </c>
      <c r="G36" s="1">
        <v>8</v>
      </c>
      <c r="H36" s="1">
        <v>8</v>
      </c>
      <c r="I36" s="1">
        <v>10</v>
      </c>
    </row>
    <row r="37" spans="1:9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7">
        <v>2</v>
      </c>
      <c r="G37" s="17">
        <v>5</v>
      </c>
      <c r="H37" s="17">
        <v>5</v>
      </c>
      <c r="I37" s="17">
        <v>5</v>
      </c>
    </row>
    <row r="38" spans="1:9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5</v>
      </c>
      <c r="G38" s="1">
        <v>7</v>
      </c>
      <c r="H38" s="1">
        <v>7</v>
      </c>
      <c r="I38" s="1">
        <v>7</v>
      </c>
    </row>
    <row r="39" spans="1:9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0</v>
      </c>
      <c r="G39" s="1">
        <v>0</v>
      </c>
      <c r="H39" s="1">
        <v>0</v>
      </c>
      <c r="I39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2FBA-3DAD-8144-B23D-09F2FE7C64A2}">
  <dimension ref="A1:G39"/>
  <sheetViews>
    <sheetView workbookViewId="0">
      <selection activeCell="F22" sqref="A1:F39"/>
    </sheetView>
  </sheetViews>
  <sheetFormatPr baseColWidth="10" defaultRowHeight="16" x14ac:dyDescent="0.2"/>
  <sheetData>
    <row r="1" spans="1:7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</row>
    <row r="2" spans="1:7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3.5</v>
      </c>
      <c r="G2" s="1"/>
    </row>
    <row r="3" spans="1:7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3</v>
      </c>
      <c r="G3" s="1"/>
    </row>
    <row r="4" spans="1:7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3.5</v>
      </c>
      <c r="G4" s="1"/>
    </row>
    <row r="5" spans="1:7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3</v>
      </c>
      <c r="G5" s="1"/>
    </row>
    <row r="6" spans="1:7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3</v>
      </c>
      <c r="G6" s="1"/>
    </row>
    <row r="7" spans="1:7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3.5</v>
      </c>
      <c r="G7" s="1"/>
    </row>
    <row r="8" spans="1:7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3.5</v>
      </c>
      <c r="G8" s="1"/>
    </row>
    <row r="9" spans="1:7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3</v>
      </c>
      <c r="G9" s="1"/>
    </row>
    <row r="10" spans="1:7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3.5</v>
      </c>
      <c r="G10" s="1"/>
    </row>
    <row r="11" spans="1:7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2</v>
      </c>
      <c r="G11" s="1"/>
    </row>
    <row r="12" spans="1:7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7">
        <v>2.5</v>
      </c>
      <c r="G12" s="1"/>
    </row>
    <row r="13" spans="1:7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3.5</v>
      </c>
      <c r="G13" s="1"/>
    </row>
    <row r="14" spans="1:7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3</v>
      </c>
      <c r="G14" s="1"/>
    </row>
    <row r="15" spans="1:7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2.5</v>
      </c>
      <c r="G15" s="1"/>
    </row>
    <row r="16" spans="1:7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3.5</v>
      </c>
      <c r="G16" s="1"/>
    </row>
    <row r="17" spans="1:7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4.5</v>
      </c>
      <c r="G17" s="1"/>
    </row>
    <row r="18" spans="1:7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3</v>
      </c>
      <c r="G18" s="1"/>
    </row>
    <row r="19" spans="1:7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3.5</v>
      </c>
      <c r="G19" s="1"/>
    </row>
    <row r="20" spans="1:7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3.5</v>
      </c>
      <c r="G20" s="1"/>
    </row>
    <row r="21" spans="1:7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3.5</v>
      </c>
      <c r="G21" s="1"/>
    </row>
    <row r="22" spans="1:7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6"/>
      <c r="G22" s="27"/>
    </row>
    <row r="23" spans="1:7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3.5</v>
      </c>
      <c r="G23" s="1"/>
    </row>
    <row r="24" spans="1:7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3</v>
      </c>
      <c r="G24" s="1"/>
    </row>
    <row r="25" spans="1:7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2.5</v>
      </c>
      <c r="G25" s="1"/>
    </row>
    <row r="26" spans="1:7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3.5</v>
      </c>
      <c r="G26" s="1"/>
    </row>
    <row r="27" spans="1:7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4.5</v>
      </c>
      <c r="G27" s="1"/>
    </row>
    <row r="28" spans="1:7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1">
        <v>4</v>
      </c>
      <c r="G28" s="1"/>
    </row>
    <row r="29" spans="1:7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4</v>
      </c>
      <c r="G29" s="1"/>
    </row>
    <row r="30" spans="1:7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3</v>
      </c>
      <c r="G30" s="1"/>
    </row>
    <row r="31" spans="1:7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3.5</v>
      </c>
      <c r="G31" s="1"/>
    </row>
    <row r="32" spans="1:7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2.5</v>
      </c>
      <c r="G32" s="1"/>
    </row>
    <row r="33" spans="1:7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2</v>
      </c>
      <c r="G33" s="1"/>
    </row>
    <row r="34" spans="1:7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2</v>
      </c>
      <c r="G34" s="1"/>
    </row>
    <row r="35" spans="1:7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2.5</v>
      </c>
      <c r="G35" s="1"/>
    </row>
    <row r="36" spans="1:7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4</v>
      </c>
      <c r="G36" s="1"/>
    </row>
    <row r="37" spans="1:7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7">
        <v>2</v>
      </c>
      <c r="G37" s="1"/>
    </row>
    <row r="38" spans="1:7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3.5</v>
      </c>
      <c r="G38" s="1"/>
    </row>
    <row r="39" spans="1:7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3</v>
      </c>
      <c r="G3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700B-4AFA-C842-B8BA-2588EE0F0659}">
  <dimension ref="A1:F39"/>
  <sheetViews>
    <sheetView workbookViewId="0">
      <selection activeCell="A6" sqref="A1:F39"/>
    </sheetView>
  </sheetViews>
  <sheetFormatPr baseColWidth="10" defaultRowHeight="16" x14ac:dyDescent="0.2"/>
  <sheetData>
    <row r="1" spans="1:6" x14ac:dyDescent="0.2">
      <c r="A1" t="s">
        <v>48</v>
      </c>
      <c r="B1" t="s">
        <v>2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">
      <c r="A2" s="26">
        <v>1</v>
      </c>
      <c r="B2" s="27" t="s">
        <v>14</v>
      </c>
      <c r="C2" s="26" t="s">
        <v>54</v>
      </c>
      <c r="D2" s="26">
        <v>1</v>
      </c>
      <c r="E2" s="27">
        <v>2090</v>
      </c>
      <c r="F2" s="1">
        <v>76.6666666666666</v>
      </c>
    </row>
    <row r="3" spans="1:6" x14ac:dyDescent="0.2">
      <c r="A3" s="26">
        <v>1</v>
      </c>
      <c r="B3" s="27" t="s">
        <v>14</v>
      </c>
      <c r="C3" s="26" t="s">
        <v>54</v>
      </c>
      <c r="D3" s="26">
        <v>1</v>
      </c>
      <c r="E3" s="27">
        <v>2086</v>
      </c>
      <c r="F3" s="1">
        <v>62.390158172231892</v>
      </c>
    </row>
    <row r="4" spans="1:6" x14ac:dyDescent="0.2">
      <c r="A4" s="26">
        <v>1</v>
      </c>
      <c r="B4" s="27" t="s">
        <v>14</v>
      </c>
      <c r="C4" s="26" t="s">
        <v>54</v>
      </c>
      <c r="D4" s="26">
        <v>1</v>
      </c>
      <c r="E4" s="27">
        <v>2087</v>
      </c>
      <c r="F4" s="1">
        <v>54.491017964071744</v>
      </c>
    </row>
    <row r="5" spans="1:6" x14ac:dyDescent="0.2">
      <c r="A5" s="26">
        <v>1</v>
      </c>
      <c r="B5" s="27" t="s">
        <v>14</v>
      </c>
      <c r="C5" s="26" t="s">
        <v>54</v>
      </c>
      <c r="D5" s="26">
        <v>1</v>
      </c>
      <c r="E5" s="27">
        <v>2093</v>
      </c>
      <c r="F5" s="1">
        <v>82.170542635659245</v>
      </c>
    </row>
    <row r="6" spans="1:6" x14ac:dyDescent="0.2">
      <c r="A6" s="26">
        <v>1</v>
      </c>
      <c r="B6" s="27" t="s">
        <v>14</v>
      </c>
      <c r="C6" s="26" t="s">
        <v>54</v>
      </c>
      <c r="D6" s="26">
        <v>1</v>
      </c>
      <c r="E6" s="27">
        <v>2094</v>
      </c>
      <c r="F6" s="1">
        <v>54.929577464788657</v>
      </c>
    </row>
    <row r="7" spans="1:6" x14ac:dyDescent="0.2">
      <c r="A7" s="26">
        <v>1</v>
      </c>
      <c r="B7" s="27" t="s">
        <v>14</v>
      </c>
      <c r="C7" s="26" t="s">
        <v>54</v>
      </c>
      <c r="D7" s="26">
        <v>2</v>
      </c>
      <c r="E7" s="27">
        <v>2101</v>
      </c>
      <c r="F7" s="1">
        <v>78.764478764478795</v>
      </c>
    </row>
    <row r="8" spans="1:6" x14ac:dyDescent="0.2">
      <c r="A8" s="26">
        <v>1</v>
      </c>
      <c r="B8" s="27" t="s">
        <v>14</v>
      </c>
      <c r="C8" s="26" t="s">
        <v>54</v>
      </c>
      <c r="D8" s="26">
        <v>2</v>
      </c>
      <c r="E8" s="27">
        <v>2102</v>
      </c>
      <c r="F8" s="1">
        <v>57.313432835821033</v>
      </c>
    </row>
    <row r="9" spans="1:6" x14ac:dyDescent="0.2">
      <c r="A9" s="26">
        <v>1</v>
      </c>
      <c r="B9" s="27" t="s">
        <v>14</v>
      </c>
      <c r="C9" s="26" t="s">
        <v>54</v>
      </c>
      <c r="D9" s="26">
        <v>2</v>
      </c>
      <c r="E9" s="27">
        <v>2103</v>
      </c>
      <c r="F9" s="1">
        <v>47.126436781609648</v>
      </c>
    </row>
    <row r="10" spans="1:6" x14ac:dyDescent="0.2">
      <c r="A10" s="26">
        <v>1</v>
      </c>
      <c r="B10" s="27" t="s">
        <v>14</v>
      </c>
      <c r="C10" s="26" t="s">
        <v>54</v>
      </c>
      <c r="D10" s="26">
        <v>2</v>
      </c>
      <c r="E10" s="27">
        <v>2097</v>
      </c>
      <c r="F10" s="1">
        <v>70.886075949367083</v>
      </c>
    </row>
    <row r="11" spans="1:6" x14ac:dyDescent="0.2">
      <c r="A11" s="26">
        <v>1</v>
      </c>
      <c r="B11" s="27" t="s">
        <v>60</v>
      </c>
      <c r="C11" s="26" t="s">
        <v>54</v>
      </c>
      <c r="D11" s="26">
        <v>3</v>
      </c>
      <c r="E11" s="27">
        <v>2074</v>
      </c>
      <c r="F11" s="1">
        <v>44.385026737967834</v>
      </c>
    </row>
    <row r="12" spans="1:6" x14ac:dyDescent="0.2">
      <c r="A12" s="26">
        <v>1</v>
      </c>
      <c r="B12" s="27" t="s">
        <v>60</v>
      </c>
      <c r="C12" s="26" t="s">
        <v>54</v>
      </c>
      <c r="D12" s="26">
        <v>3</v>
      </c>
      <c r="E12" s="27">
        <v>2075</v>
      </c>
      <c r="F12" s="17">
        <v>44.262295081966862</v>
      </c>
    </row>
    <row r="13" spans="1:6" x14ac:dyDescent="0.2">
      <c r="A13" s="26">
        <v>1</v>
      </c>
      <c r="B13" s="27" t="s">
        <v>60</v>
      </c>
      <c r="C13" s="26" t="s">
        <v>54</v>
      </c>
      <c r="D13" s="26">
        <v>3</v>
      </c>
      <c r="E13" s="27">
        <v>2076</v>
      </c>
      <c r="F13" s="1">
        <v>60.180995475113164</v>
      </c>
    </row>
    <row r="14" spans="1:6" x14ac:dyDescent="0.2">
      <c r="A14" s="26">
        <v>1</v>
      </c>
      <c r="B14" s="27" t="s">
        <v>60</v>
      </c>
      <c r="C14" s="26" t="s">
        <v>54</v>
      </c>
      <c r="D14" s="26">
        <v>3</v>
      </c>
      <c r="E14" s="27">
        <v>2096</v>
      </c>
      <c r="F14" s="1">
        <v>27.727272727273348</v>
      </c>
    </row>
    <row r="15" spans="1:6" x14ac:dyDescent="0.2">
      <c r="A15" s="26">
        <v>1</v>
      </c>
      <c r="B15" s="27" t="s">
        <v>60</v>
      </c>
      <c r="C15" s="26" t="s">
        <v>54</v>
      </c>
      <c r="D15" s="26">
        <v>4</v>
      </c>
      <c r="E15" s="27">
        <v>2085</v>
      </c>
      <c r="F15" s="1">
        <v>37.254901960784316</v>
      </c>
    </row>
    <row r="16" spans="1:6" x14ac:dyDescent="0.2">
      <c r="A16" s="26">
        <v>1</v>
      </c>
      <c r="B16" s="27" t="s">
        <v>60</v>
      </c>
      <c r="C16" s="26" t="s">
        <v>54</v>
      </c>
      <c r="D16" s="26">
        <v>4</v>
      </c>
      <c r="E16" s="27">
        <v>2088</v>
      </c>
      <c r="F16" s="1">
        <v>41.450777202072636</v>
      </c>
    </row>
    <row r="17" spans="1:6" x14ac:dyDescent="0.2">
      <c r="A17" s="26">
        <v>1</v>
      </c>
      <c r="B17" s="27" t="s">
        <v>60</v>
      </c>
      <c r="C17" s="26" t="s">
        <v>54</v>
      </c>
      <c r="D17" s="26">
        <v>4</v>
      </c>
      <c r="E17" s="27">
        <v>2089</v>
      </c>
      <c r="F17" s="1">
        <v>59.659090909090708</v>
      </c>
    </row>
    <row r="18" spans="1:6" x14ac:dyDescent="0.2">
      <c r="A18" s="26">
        <v>1</v>
      </c>
      <c r="B18" s="27" t="s">
        <v>60</v>
      </c>
      <c r="C18" s="26" t="s">
        <v>54</v>
      </c>
      <c r="D18" s="26">
        <v>4</v>
      </c>
      <c r="E18" s="27">
        <v>2092</v>
      </c>
      <c r="F18" s="1">
        <v>47.902097902098213</v>
      </c>
    </row>
    <row r="19" spans="1:6" x14ac:dyDescent="0.2">
      <c r="A19" s="26">
        <v>1</v>
      </c>
      <c r="B19" s="27" t="s">
        <v>60</v>
      </c>
      <c r="C19" s="26" t="s">
        <v>55</v>
      </c>
      <c r="D19" s="26">
        <v>5</v>
      </c>
      <c r="E19" s="27">
        <v>2077</v>
      </c>
      <c r="F19" s="1">
        <v>62.068965517241217</v>
      </c>
    </row>
    <row r="20" spans="1:6" x14ac:dyDescent="0.2">
      <c r="A20" s="26">
        <v>1</v>
      </c>
      <c r="B20" s="27" t="s">
        <v>60</v>
      </c>
      <c r="C20" s="26" t="s">
        <v>55</v>
      </c>
      <c r="D20" s="26">
        <v>5</v>
      </c>
      <c r="E20" s="27">
        <v>2078</v>
      </c>
      <c r="F20" s="1">
        <v>52.26586102719051</v>
      </c>
    </row>
    <row r="21" spans="1:6" x14ac:dyDescent="0.2">
      <c r="A21" s="26">
        <v>1</v>
      </c>
      <c r="B21" s="27" t="s">
        <v>60</v>
      </c>
      <c r="C21" s="26" t="s">
        <v>55</v>
      </c>
      <c r="D21" s="26">
        <v>5</v>
      </c>
      <c r="E21" s="26">
        <v>2081</v>
      </c>
      <c r="F21" s="1">
        <v>49.222797927461251</v>
      </c>
    </row>
    <row r="22" spans="1:6" x14ac:dyDescent="0.2">
      <c r="A22" s="26">
        <v>1</v>
      </c>
      <c r="B22" s="27" t="s">
        <v>60</v>
      </c>
      <c r="C22" s="26" t="s">
        <v>55</v>
      </c>
      <c r="D22" s="26">
        <v>6</v>
      </c>
      <c r="E22" s="27">
        <v>2098</v>
      </c>
      <c r="F22" s="26"/>
    </row>
    <row r="23" spans="1:6" x14ac:dyDescent="0.2">
      <c r="A23" s="26">
        <v>1</v>
      </c>
      <c r="B23" s="27" t="s">
        <v>60</v>
      </c>
      <c r="C23" s="26" t="s">
        <v>55</v>
      </c>
      <c r="D23" s="26">
        <v>6</v>
      </c>
      <c r="E23" s="27">
        <v>2099</v>
      </c>
      <c r="F23" s="1">
        <v>51.441241685144078</v>
      </c>
    </row>
    <row r="24" spans="1:6" x14ac:dyDescent="0.2">
      <c r="A24" s="26">
        <v>1</v>
      </c>
      <c r="B24" s="27" t="s">
        <v>60</v>
      </c>
      <c r="C24" s="26" t="s">
        <v>55</v>
      </c>
      <c r="D24" s="26">
        <v>6</v>
      </c>
      <c r="E24" s="27">
        <v>2095</v>
      </c>
      <c r="F24" s="1">
        <v>48.333333333333336</v>
      </c>
    </row>
    <row r="25" spans="1:6" x14ac:dyDescent="0.2">
      <c r="A25" s="26">
        <v>1</v>
      </c>
      <c r="B25" s="27" t="s">
        <v>60</v>
      </c>
      <c r="C25" s="26" t="s">
        <v>55</v>
      </c>
      <c r="D25" s="26">
        <v>7</v>
      </c>
      <c r="E25" s="27">
        <v>2104</v>
      </c>
      <c r="F25" s="1">
        <v>55.555555555555202</v>
      </c>
    </row>
    <row r="26" spans="1:6" x14ac:dyDescent="0.2">
      <c r="A26" s="26">
        <v>1</v>
      </c>
      <c r="B26" s="27" t="s">
        <v>60</v>
      </c>
      <c r="C26" s="26" t="s">
        <v>55</v>
      </c>
      <c r="D26" s="26">
        <v>7</v>
      </c>
      <c r="E26" s="27">
        <v>2016</v>
      </c>
      <c r="F26" s="1">
        <v>71.250000000000156</v>
      </c>
    </row>
    <row r="27" spans="1:6" x14ac:dyDescent="0.2">
      <c r="A27" s="26">
        <v>2</v>
      </c>
      <c r="B27" s="27" t="s">
        <v>14</v>
      </c>
      <c r="C27" s="26" t="s">
        <v>54</v>
      </c>
      <c r="D27" s="26">
        <v>8</v>
      </c>
      <c r="E27" s="27">
        <v>2125</v>
      </c>
      <c r="F27" s="1">
        <v>55.513307984790629</v>
      </c>
    </row>
    <row r="28" spans="1:6" x14ac:dyDescent="0.2">
      <c r="A28" s="26">
        <v>2</v>
      </c>
      <c r="B28" s="27" t="s">
        <v>14</v>
      </c>
      <c r="C28" s="26" t="s">
        <v>54</v>
      </c>
      <c r="D28" s="26">
        <v>8</v>
      </c>
      <c r="E28" s="27">
        <v>2126</v>
      </c>
      <c r="F28" s="1">
        <v>58.122743682310862</v>
      </c>
    </row>
    <row r="29" spans="1:6" x14ac:dyDescent="0.2">
      <c r="A29" s="26">
        <v>2</v>
      </c>
      <c r="B29" s="27" t="s">
        <v>14</v>
      </c>
      <c r="C29" s="26" t="s">
        <v>54</v>
      </c>
      <c r="D29" s="26">
        <v>8</v>
      </c>
      <c r="E29" s="27">
        <v>2127</v>
      </c>
      <c r="F29" s="1">
        <v>64.102564102564301</v>
      </c>
    </row>
    <row r="30" spans="1:6" x14ac:dyDescent="0.2">
      <c r="A30" s="26">
        <v>2</v>
      </c>
      <c r="B30" s="27" t="s">
        <v>14</v>
      </c>
      <c r="C30" s="26" t="s">
        <v>54</v>
      </c>
      <c r="D30" s="26">
        <v>8</v>
      </c>
      <c r="E30" s="27">
        <v>2128</v>
      </c>
      <c r="F30" s="1">
        <v>48.829431438127394</v>
      </c>
    </row>
    <row r="31" spans="1:6" x14ac:dyDescent="0.2">
      <c r="A31" s="26">
        <v>2</v>
      </c>
      <c r="B31" s="27" t="s">
        <v>14</v>
      </c>
      <c r="C31" s="26" t="s">
        <v>54</v>
      </c>
      <c r="D31" s="26">
        <v>8</v>
      </c>
      <c r="E31" s="27">
        <v>2130</v>
      </c>
      <c r="F31" s="1">
        <v>60.563380281690137</v>
      </c>
    </row>
    <row r="32" spans="1:6" x14ac:dyDescent="0.2">
      <c r="A32" s="26">
        <v>2</v>
      </c>
      <c r="B32" s="27" t="s">
        <v>60</v>
      </c>
      <c r="C32" s="26" t="s">
        <v>54</v>
      </c>
      <c r="D32" s="26">
        <v>9</v>
      </c>
      <c r="E32" s="27">
        <v>2121</v>
      </c>
      <c r="F32" s="1">
        <v>47.755102040815586</v>
      </c>
    </row>
    <row r="33" spans="1:6" x14ac:dyDescent="0.2">
      <c r="A33" s="26">
        <v>2</v>
      </c>
      <c r="B33" s="27" t="s">
        <v>60</v>
      </c>
      <c r="C33" s="26" t="s">
        <v>54</v>
      </c>
      <c r="D33" s="26">
        <v>9</v>
      </c>
      <c r="E33" s="27">
        <v>2122</v>
      </c>
      <c r="F33" s="1">
        <v>33.136094674555721</v>
      </c>
    </row>
    <row r="34" spans="1:6" x14ac:dyDescent="0.2">
      <c r="A34" s="26">
        <v>2</v>
      </c>
      <c r="B34" s="27" t="s">
        <v>60</v>
      </c>
      <c r="C34" s="26" t="s">
        <v>54</v>
      </c>
      <c r="D34" s="26">
        <v>9</v>
      </c>
      <c r="E34" s="27">
        <v>2124</v>
      </c>
      <c r="F34" s="1">
        <v>33.920704845815109</v>
      </c>
    </row>
    <row r="35" spans="1:6" x14ac:dyDescent="0.2">
      <c r="A35" s="26">
        <v>2</v>
      </c>
      <c r="B35" s="27" t="s">
        <v>60</v>
      </c>
      <c r="C35" s="26" t="s">
        <v>55</v>
      </c>
      <c r="D35" s="26">
        <v>10</v>
      </c>
      <c r="E35" s="27">
        <v>2129</v>
      </c>
      <c r="F35" s="1">
        <v>41.603053435114781</v>
      </c>
    </row>
    <row r="36" spans="1:6" x14ac:dyDescent="0.2">
      <c r="A36" s="26">
        <v>2</v>
      </c>
      <c r="B36" s="27" t="s">
        <v>60</v>
      </c>
      <c r="C36" s="26" t="s">
        <v>55</v>
      </c>
      <c r="D36" s="26">
        <v>10</v>
      </c>
      <c r="E36" s="27">
        <v>2131</v>
      </c>
      <c r="F36" s="1">
        <v>58.677685950413171</v>
      </c>
    </row>
    <row r="37" spans="1:6" x14ac:dyDescent="0.2">
      <c r="A37" s="26">
        <v>2</v>
      </c>
      <c r="B37" s="27" t="s">
        <v>60</v>
      </c>
      <c r="C37" s="26" t="s">
        <v>55</v>
      </c>
      <c r="D37" s="26">
        <v>11</v>
      </c>
      <c r="E37" s="27">
        <v>2134</v>
      </c>
      <c r="F37" s="17">
        <v>42.222222222221987</v>
      </c>
    </row>
    <row r="38" spans="1:6" x14ac:dyDescent="0.2">
      <c r="A38" s="26">
        <v>2</v>
      </c>
      <c r="B38" s="27" t="s">
        <v>60</v>
      </c>
      <c r="C38" s="26" t="s">
        <v>55</v>
      </c>
      <c r="D38" s="26">
        <v>11</v>
      </c>
      <c r="E38" s="27">
        <v>2135</v>
      </c>
      <c r="F38" s="1">
        <v>62.595419847328479</v>
      </c>
    </row>
    <row r="39" spans="1:6" x14ac:dyDescent="0.2">
      <c r="A39" s="26">
        <v>2</v>
      </c>
      <c r="B39" s="27" t="s">
        <v>60</v>
      </c>
      <c r="C39" s="26" t="s">
        <v>55</v>
      </c>
      <c r="D39" s="26">
        <v>11</v>
      </c>
      <c r="E39" s="27">
        <v>2136</v>
      </c>
      <c r="F39" s="1">
        <v>57.264957264957431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687B-ADE6-C347-A91B-C04D2E88A6AA}">
  <dimension ref="A1:F39"/>
  <sheetViews>
    <sheetView workbookViewId="0">
      <selection activeCell="F27" sqref="A1:F39"/>
    </sheetView>
  </sheetViews>
  <sheetFormatPr baseColWidth="10" defaultRowHeight="16" x14ac:dyDescent="0.2"/>
  <sheetData>
    <row r="1" spans="1:6" x14ac:dyDescent="0.2">
      <c r="A1" s="1" t="s">
        <v>48</v>
      </c>
      <c r="B1" s="1" t="s">
        <v>2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2">
      <c r="A2" s="1">
        <v>1</v>
      </c>
      <c r="B2" s="1" t="s">
        <v>14</v>
      </c>
      <c r="C2" s="1" t="s">
        <v>54</v>
      </c>
      <c r="D2" s="1">
        <v>1</v>
      </c>
      <c r="E2" s="1">
        <v>2090</v>
      </c>
      <c r="F2" s="1">
        <v>235.99999999999997</v>
      </c>
    </row>
    <row r="3" spans="1:6" x14ac:dyDescent="0.2">
      <c r="A3" s="1">
        <v>1</v>
      </c>
      <c r="B3" s="1" t="s">
        <v>14</v>
      </c>
      <c r="C3" s="1" t="s">
        <v>54</v>
      </c>
      <c r="D3" s="1">
        <v>1</v>
      </c>
      <c r="E3" s="1">
        <v>2086</v>
      </c>
      <c r="F3" s="1">
        <v>235.99999999999997</v>
      </c>
    </row>
    <row r="4" spans="1:6" x14ac:dyDescent="0.2">
      <c r="A4" s="1">
        <v>1</v>
      </c>
      <c r="B4" s="1" t="s">
        <v>14</v>
      </c>
      <c r="C4" s="1" t="s">
        <v>54</v>
      </c>
      <c r="D4" s="1">
        <v>1</v>
      </c>
      <c r="E4" s="1">
        <v>2087</v>
      </c>
      <c r="F4" s="1">
        <v>316</v>
      </c>
    </row>
    <row r="5" spans="1:6" x14ac:dyDescent="0.2">
      <c r="A5" s="1">
        <v>1</v>
      </c>
      <c r="B5" s="1" t="s">
        <v>14</v>
      </c>
      <c r="C5" s="1" t="s">
        <v>54</v>
      </c>
      <c r="D5" s="1">
        <v>1</v>
      </c>
      <c r="E5" s="1">
        <v>2093</v>
      </c>
      <c r="F5" s="1">
        <v>266</v>
      </c>
    </row>
    <row r="6" spans="1:6" x14ac:dyDescent="0.2">
      <c r="A6" s="1">
        <v>1</v>
      </c>
      <c r="B6" s="1" t="s">
        <v>14</v>
      </c>
      <c r="C6" s="1" t="s">
        <v>54</v>
      </c>
      <c r="D6" s="1">
        <v>1</v>
      </c>
      <c r="E6" s="1">
        <v>2094</v>
      </c>
      <c r="F6" s="1">
        <v>266</v>
      </c>
    </row>
    <row r="7" spans="1:6" x14ac:dyDescent="0.2">
      <c r="A7" s="1">
        <v>1</v>
      </c>
      <c r="B7" s="1" t="s">
        <v>14</v>
      </c>
      <c r="C7" s="1" t="s">
        <v>54</v>
      </c>
      <c r="D7" s="1">
        <v>2</v>
      </c>
      <c r="E7" s="1">
        <v>2101</v>
      </c>
      <c r="F7" s="1">
        <v>266</v>
      </c>
    </row>
    <row r="8" spans="1:6" x14ac:dyDescent="0.2">
      <c r="A8" s="1">
        <v>1</v>
      </c>
      <c r="B8" s="1" t="s">
        <v>14</v>
      </c>
      <c r="C8" s="1" t="s">
        <v>54</v>
      </c>
      <c r="D8" s="1">
        <v>2</v>
      </c>
      <c r="E8" s="1">
        <v>2102</v>
      </c>
      <c r="F8" s="1">
        <v>280.99999999999994</v>
      </c>
    </row>
    <row r="9" spans="1:6" x14ac:dyDescent="0.2">
      <c r="A9" s="1">
        <v>1</v>
      </c>
      <c r="B9" s="1" t="s">
        <v>14</v>
      </c>
      <c r="C9" s="1" t="s">
        <v>54</v>
      </c>
      <c r="D9" s="1">
        <v>2</v>
      </c>
      <c r="E9" s="1">
        <v>2103</v>
      </c>
      <c r="F9" s="1">
        <v>280.99999999999994</v>
      </c>
    </row>
    <row r="10" spans="1:6" x14ac:dyDescent="0.2">
      <c r="A10" s="1">
        <v>1</v>
      </c>
      <c r="B10" s="1" t="s">
        <v>14</v>
      </c>
      <c r="C10" s="1" t="s">
        <v>54</v>
      </c>
      <c r="D10" s="1">
        <v>2</v>
      </c>
      <c r="E10" s="1">
        <v>2097</v>
      </c>
      <c r="F10" s="1">
        <v>296.00000000000006</v>
      </c>
    </row>
    <row r="11" spans="1:6" x14ac:dyDescent="0.2">
      <c r="A11" s="1">
        <v>1</v>
      </c>
      <c r="B11" s="1" t="s">
        <v>60</v>
      </c>
      <c r="C11" s="1" t="s">
        <v>54</v>
      </c>
      <c r="D11" s="1">
        <v>3</v>
      </c>
      <c r="E11" s="1">
        <v>2074</v>
      </c>
      <c r="F11" s="1">
        <v>291.00000000000011</v>
      </c>
    </row>
    <row r="12" spans="1:6" x14ac:dyDescent="0.2">
      <c r="A12" s="1">
        <v>1</v>
      </c>
      <c r="B12" s="1" t="s">
        <v>60</v>
      </c>
      <c r="C12" s="1" t="s">
        <v>54</v>
      </c>
      <c r="D12" s="1">
        <v>3</v>
      </c>
      <c r="E12" s="1">
        <v>2075</v>
      </c>
      <c r="F12" s="17">
        <v>381.00000000000011</v>
      </c>
    </row>
    <row r="13" spans="1:6" x14ac:dyDescent="0.2">
      <c r="A13" s="1">
        <v>1</v>
      </c>
      <c r="B13" s="1" t="s">
        <v>60</v>
      </c>
      <c r="C13" s="1" t="s">
        <v>54</v>
      </c>
      <c r="D13" s="1">
        <v>3</v>
      </c>
      <c r="E13" s="1">
        <v>2076</v>
      </c>
      <c r="F13" s="1">
        <v>381.00000000000011</v>
      </c>
    </row>
    <row r="14" spans="1:6" x14ac:dyDescent="0.2">
      <c r="A14" s="1">
        <v>1</v>
      </c>
      <c r="B14" s="1" t="s">
        <v>60</v>
      </c>
      <c r="C14" s="1" t="s">
        <v>54</v>
      </c>
      <c r="D14" s="1">
        <v>3</v>
      </c>
      <c r="E14" s="1">
        <v>2096</v>
      </c>
      <c r="F14" s="1">
        <v>480</v>
      </c>
    </row>
    <row r="15" spans="1:6" x14ac:dyDescent="0.2">
      <c r="A15" s="1">
        <v>1</v>
      </c>
      <c r="B15" s="1" t="s">
        <v>60</v>
      </c>
      <c r="C15" s="1" t="s">
        <v>54</v>
      </c>
      <c r="D15" s="1">
        <v>4</v>
      </c>
      <c r="E15" s="1">
        <v>2085</v>
      </c>
      <c r="F15" s="1">
        <v>291.00000000000011</v>
      </c>
    </row>
    <row r="16" spans="1:6" x14ac:dyDescent="0.2">
      <c r="A16" s="1">
        <v>1</v>
      </c>
      <c r="B16" s="1" t="s">
        <v>60</v>
      </c>
      <c r="C16" s="1" t="s">
        <v>54</v>
      </c>
      <c r="D16" s="1">
        <v>4</v>
      </c>
      <c r="E16" s="1">
        <v>2088</v>
      </c>
      <c r="F16" s="1">
        <v>291.00000000000011</v>
      </c>
    </row>
    <row r="17" spans="1:6" x14ac:dyDescent="0.2">
      <c r="A17" s="1">
        <v>1</v>
      </c>
      <c r="B17" s="1" t="s">
        <v>60</v>
      </c>
      <c r="C17" s="1" t="s">
        <v>54</v>
      </c>
      <c r="D17" s="1">
        <v>4</v>
      </c>
      <c r="E17" s="1">
        <v>2089</v>
      </c>
      <c r="F17" s="1">
        <v>351.00000000000006</v>
      </c>
    </row>
    <row r="18" spans="1:6" x14ac:dyDescent="0.2">
      <c r="A18" s="1">
        <v>1</v>
      </c>
      <c r="B18" s="1" t="s">
        <v>60</v>
      </c>
      <c r="C18" s="1" t="s">
        <v>54</v>
      </c>
      <c r="D18" s="1">
        <v>4</v>
      </c>
      <c r="E18" s="1">
        <v>2092</v>
      </c>
      <c r="F18" s="1">
        <v>351.00000000000006</v>
      </c>
    </row>
    <row r="19" spans="1:6" x14ac:dyDescent="0.2">
      <c r="A19" s="1">
        <v>1</v>
      </c>
      <c r="B19" s="1" t="s">
        <v>60</v>
      </c>
      <c r="C19" s="1" t="s">
        <v>55</v>
      </c>
      <c r="D19" s="1">
        <v>5</v>
      </c>
      <c r="E19" s="1">
        <v>2077</v>
      </c>
      <c r="F19" s="1">
        <v>347.99999999999994</v>
      </c>
    </row>
    <row r="20" spans="1:6" x14ac:dyDescent="0.2">
      <c r="A20" s="1">
        <v>1</v>
      </c>
      <c r="B20" s="1" t="s">
        <v>60</v>
      </c>
      <c r="C20" s="1" t="s">
        <v>55</v>
      </c>
      <c r="D20" s="1">
        <v>5</v>
      </c>
      <c r="E20" s="1">
        <v>2078</v>
      </c>
      <c r="F20" s="1">
        <v>480</v>
      </c>
    </row>
    <row r="21" spans="1:6" x14ac:dyDescent="0.2">
      <c r="A21" s="1">
        <v>1</v>
      </c>
      <c r="B21" s="1" t="s">
        <v>60</v>
      </c>
      <c r="C21" s="1" t="s">
        <v>55</v>
      </c>
      <c r="D21" s="1">
        <v>5</v>
      </c>
      <c r="E21" s="1">
        <v>2081</v>
      </c>
      <c r="F21" s="1">
        <v>302.99999999999994</v>
      </c>
    </row>
    <row r="22" spans="1:6" x14ac:dyDescent="0.2">
      <c r="A22" s="1">
        <v>1</v>
      </c>
      <c r="B22" s="1" t="s">
        <v>60</v>
      </c>
      <c r="C22" s="1" t="s">
        <v>55</v>
      </c>
      <c r="D22" s="1">
        <v>6</v>
      </c>
      <c r="E22" s="1">
        <v>2098</v>
      </c>
      <c r="F22" s="1"/>
    </row>
    <row r="23" spans="1:6" x14ac:dyDescent="0.2">
      <c r="A23" s="1">
        <v>1</v>
      </c>
      <c r="B23" s="1" t="s">
        <v>60</v>
      </c>
      <c r="C23" s="1" t="s">
        <v>55</v>
      </c>
      <c r="D23" s="1">
        <v>6</v>
      </c>
      <c r="E23" s="1">
        <v>2099</v>
      </c>
      <c r="F23" s="1">
        <v>302.99999999999994</v>
      </c>
    </row>
    <row r="24" spans="1:6" x14ac:dyDescent="0.2">
      <c r="A24" s="1">
        <v>1</v>
      </c>
      <c r="B24" s="1" t="s">
        <v>60</v>
      </c>
      <c r="C24" s="1" t="s">
        <v>55</v>
      </c>
      <c r="D24" s="1">
        <v>6</v>
      </c>
      <c r="E24" s="1">
        <v>2095</v>
      </c>
      <c r="F24" s="1">
        <v>302.99999999999994</v>
      </c>
    </row>
    <row r="25" spans="1:6" x14ac:dyDescent="0.2">
      <c r="A25" s="1">
        <v>1</v>
      </c>
      <c r="B25" s="1" t="s">
        <v>60</v>
      </c>
      <c r="C25" s="1" t="s">
        <v>55</v>
      </c>
      <c r="D25" s="1">
        <v>7</v>
      </c>
      <c r="E25" s="1">
        <v>2104</v>
      </c>
      <c r="F25" s="1">
        <v>257.99999999999994</v>
      </c>
    </row>
    <row r="26" spans="1:6" x14ac:dyDescent="0.2">
      <c r="A26" s="1">
        <v>1</v>
      </c>
      <c r="B26" s="1" t="s">
        <v>60</v>
      </c>
      <c r="C26" s="1" t="s">
        <v>55</v>
      </c>
      <c r="D26" s="1">
        <v>7</v>
      </c>
      <c r="E26" s="1">
        <v>2016</v>
      </c>
      <c r="F26" s="1">
        <v>307.99999999999994</v>
      </c>
    </row>
    <row r="27" spans="1:6" x14ac:dyDescent="0.2">
      <c r="A27" s="1">
        <v>2</v>
      </c>
      <c r="B27" s="1" t="s">
        <v>14</v>
      </c>
      <c r="C27" s="1" t="s">
        <v>54</v>
      </c>
      <c r="D27" s="1">
        <v>8</v>
      </c>
      <c r="E27" s="1">
        <v>2125</v>
      </c>
      <c r="F27" s="1">
        <v>201.99999999999991</v>
      </c>
    </row>
    <row r="28" spans="1:6" x14ac:dyDescent="0.2">
      <c r="A28" s="1">
        <v>2</v>
      </c>
      <c r="B28" s="1" t="s">
        <v>14</v>
      </c>
      <c r="C28" s="1" t="s">
        <v>54</v>
      </c>
      <c r="D28" s="1">
        <v>8</v>
      </c>
      <c r="E28" s="1">
        <v>2126</v>
      </c>
      <c r="F28" s="1">
        <v>302.00000000000006</v>
      </c>
    </row>
    <row r="29" spans="1:6" x14ac:dyDescent="0.2">
      <c r="A29" s="1">
        <v>2</v>
      </c>
      <c r="B29" s="1" t="s">
        <v>14</v>
      </c>
      <c r="C29" s="1" t="s">
        <v>54</v>
      </c>
      <c r="D29" s="1">
        <v>8</v>
      </c>
      <c r="E29" s="1">
        <v>2127</v>
      </c>
      <c r="F29" s="1">
        <v>272</v>
      </c>
    </row>
    <row r="30" spans="1:6" x14ac:dyDescent="0.2">
      <c r="A30" s="1">
        <v>2</v>
      </c>
      <c r="B30" s="1" t="s">
        <v>14</v>
      </c>
      <c r="C30" s="1" t="s">
        <v>54</v>
      </c>
      <c r="D30" s="1">
        <v>8</v>
      </c>
      <c r="E30" s="1">
        <v>2128</v>
      </c>
      <c r="F30" s="1">
        <v>277</v>
      </c>
    </row>
    <row r="31" spans="1:6" x14ac:dyDescent="0.2">
      <c r="A31" s="1">
        <v>2</v>
      </c>
      <c r="B31" s="1" t="s">
        <v>14</v>
      </c>
      <c r="C31" s="1" t="s">
        <v>54</v>
      </c>
      <c r="D31" s="1">
        <v>8</v>
      </c>
      <c r="E31" s="1">
        <v>2130</v>
      </c>
      <c r="F31" s="1">
        <v>172.00000000000003</v>
      </c>
    </row>
    <row r="32" spans="1:6" x14ac:dyDescent="0.2">
      <c r="A32" s="1">
        <v>2</v>
      </c>
      <c r="B32" s="1" t="s">
        <v>60</v>
      </c>
      <c r="C32" s="1" t="s">
        <v>54</v>
      </c>
      <c r="D32" s="1">
        <v>9</v>
      </c>
      <c r="E32" s="1">
        <v>2121</v>
      </c>
      <c r="F32" s="1">
        <v>284.00000000000006</v>
      </c>
    </row>
    <row r="33" spans="1:6" x14ac:dyDescent="0.2">
      <c r="A33" s="1">
        <v>2</v>
      </c>
      <c r="B33" s="1" t="s">
        <v>60</v>
      </c>
      <c r="C33" s="1" t="s">
        <v>54</v>
      </c>
      <c r="D33" s="1">
        <v>9</v>
      </c>
      <c r="E33" s="1">
        <v>2122</v>
      </c>
      <c r="F33" s="1">
        <v>208.99999999999997</v>
      </c>
    </row>
    <row r="34" spans="1:6" x14ac:dyDescent="0.2">
      <c r="A34" s="1">
        <v>2</v>
      </c>
      <c r="B34" s="1" t="s">
        <v>60</v>
      </c>
      <c r="C34" s="1" t="s">
        <v>54</v>
      </c>
      <c r="D34" s="1">
        <v>9</v>
      </c>
      <c r="E34" s="1">
        <v>2124</v>
      </c>
      <c r="F34" s="1">
        <v>309.00000000000011</v>
      </c>
    </row>
    <row r="35" spans="1:6" x14ac:dyDescent="0.2">
      <c r="A35" s="1">
        <v>2</v>
      </c>
      <c r="B35" s="1" t="s">
        <v>60</v>
      </c>
      <c r="C35" s="1" t="s">
        <v>55</v>
      </c>
      <c r="D35" s="1">
        <v>10</v>
      </c>
      <c r="E35" s="1">
        <v>2129</v>
      </c>
      <c r="F35" s="1">
        <v>234.99999999999997</v>
      </c>
    </row>
    <row r="36" spans="1:6" x14ac:dyDescent="0.2">
      <c r="A36" s="1">
        <v>2</v>
      </c>
      <c r="B36" s="1" t="s">
        <v>60</v>
      </c>
      <c r="C36" s="1" t="s">
        <v>55</v>
      </c>
      <c r="D36" s="1">
        <v>10</v>
      </c>
      <c r="E36" s="1">
        <v>2131</v>
      </c>
      <c r="F36" s="1">
        <v>234.99999999999997</v>
      </c>
    </row>
    <row r="37" spans="1:6" x14ac:dyDescent="0.2">
      <c r="A37" s="1">
        <v>2</v>
      </c>
      <c r="B37" s="1" t="s">
        <v>60</v>
      </c>
      <c r="C37" s="1" t="s">
        <v>55</v>
      </c>
      <c r="D37" s="1">
        <v>11</v>
      </c>
      <c r="E37" s="1">
        <v>2134</v>
      </c>
      <c r="F37" s="17">
        <v>324.99999999999994</v>
      </c>
    </row>
    <row r="38" spans="1:6" x14ac:dyDescent="0.2">
      <c r="A38" s="1">
        <v>2</v>
      </c>
      <c r="B38" s="1" t="s">
        <v>60</v>
      </c>
      <c r="C38" s="1" t="s">
        <v>55</v>
      </c>
      <c r="D38" s="1">
        <v>11</v>
      </c>
      <c r="E38" s="1">
        <v>2135</v>
      </c>
      <c r="F38" s="1">
        <v>324.99999999999994</v>
      </c>
    </row>
    <row r="39" spans="1:6" x14ac:dyDescent="0.2">
      <c r="A39" s="1">
        <v>2</v>
      </c>
      <c r="B39" s="1" t="s">
        <v>60</v>
      </c>
      <c r="C39" s="1" t="s">
        <v>55</v>
      </c>
      <c r="D39" s="1">
        <v>11</v>
      </c>
      <c r="E39" s="1">
        <v>2136</v>
      </c>
      <c r="F39" s="1">
        <v>480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38D4-40A1-2E44-BDBF-E0A0D989D130}">
  <dimension ref="A1:F39"/>
  <sheetViews>
    <sheetView tabSelected="1" workbookViewId="0">
      <selection activeCell="H17" sqref="H17"/>
    </sheetView>
  </sheetViews>
  <sheetFormatPr baseColWidth="10" defaultRowHeight="16" x14ac:dyDescent="0.2"/>
  <sheetData>
    <row r="1" spans="1:6" x14ac:dyDescent="0.2">
      <c r="A1" s="1" t="s">
        <v>48</v>
      </c>
      <c r="B1" s="1" t="s">
        <v>2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2">
      <c r="A2" s="1">
        <v>1</v>
      </c>
      <c r="B2" s="1" t="s">
        <v>14</v>
      </c>
      <c r="C2" s="1" t="s">
        <v>54</v>
      </c>
      <c r="D2" s="1">
        <v>1</v>
      </c>
      <c r="E2" s="1">
        <v>2090</v>
      </c>
      <c r="F2" s="15">
        <v>3.9999999999999858</v>
      </c>
    </row>
    <row r="3" spans="1:6" x14ac:dyDescent="0.2">
      <c r="A3" s="1">
        <v>1</v>
      </c>
      <c r="B3" s="1" t="s">
        <v>14</v>
      </c>
      <c r="C3" s="1" t="s">
        <v>54</v>
      </c>
      <c r="D3" s="1">
        <v>1</v>
      </c>
      <c r="E3" s="1">
        <v>2086</v>
      </c>
      <c r="F3" s="15">
        <v>11.999999999999957</v>
      </c>
    </row>
    <row r="4" spans="1:6" x14ac:dyDescent="0.2">
      <c r="A4" s="1">
        <v>1</v>
      </c>
      <c r="B4" s="1" t="s">
        <v>14</v>
      </c>
      <c r="C4" s="1" t="s">
        <v>54</v>
      </c>
      <c r="D4" s="1">
        <v>1</v>
      </c>
      <c r="E4" s="1">
        <v>2087</v>
      </c>
      <c r="F4" s="15">
        <v>15.000000000000027</v>
      </c>
    </row>
    <row r="5" spans="1:6" x14ac:dyDescent="0.2">
      <c r="A5" s="1">
        <v>1</v>
      </c>
      <c r="B5" s="1" t="s">
        <v>14</v>
      </c>
      <c r="C5" s="1" t="s">
        <v>54</v>
      </c>
      <c r="D5" s="1">
        <v>1</v>
      </c>
      <c r="E5" s="1">
        <v>2093</v>
      </c>
      <c r="F5" s="15">
        <v>5.9999999999999787</v>
      </c>
    </row>
    <row r="6" spans="1:6" x14ac:dyDescent="0.2">
      <c r="A6" s="1">
        <v>1</v>
      </c>
      <c r="B6" s="1" t="s">
        <v>14</v>
      </c>
      <c r="C6" s="1" t="s">
        <v>54</v>
      </c>
      <c r="D6" s="1">
        <v>1</v>
      </c>
      <c r="E6" s="1">
        <v>2094</v>
      </c>
      <c r="F6" s="15">
        <v>11.000000000000041</v>
      </c>
    </row>
    <row r="7" spans="1:6" x14ac:dyDescent="0.2">
      <c r="A7" s="1">
        <v>1</v>
      </c>
      <c r="B7" s="1" t="s">
        <v>14</v>
      </c>
      <c r="C7" s="1" t="s">
        <v>54</v>
      </c>
      <c r="D7" s="1">
        <v>2</v>
      </c>
      <c r="E7" s="1">
        <v>2101</v>
      </c>
      <c r="F7" s="15">
        <v>20.000000000000007</v>
      </c>
    </row>
    <row r="8" spans="1:6" x14ac:dyDescent="0.2">
      <c r="A8" s="1">
        <v>1</v>
      </c>
      <c r="B8" s="1" t="s">
        <v>14</v>
      </c>
      <c r="C8" s="1" t="s">
        <v>54</v>
      </c>
      <c r="D8" s="1">
        <v>2</v>
      </c>
      <c r="E8" s="1">
        <v>2102</v>
      </c>
      <c r="F8" s="15">
        <v>11.000000000000041</v>
      </c>
    </row>
    <row r="9" spans="1:6" x14ac:dyDescent="0.2">
      <c r="A9" s="1">
        <v>1</v>
      </c>
      <c r="B9" s="1" t="s">
        <v>14</v>
      </c>
      <c r="C9" s="1" t="s">
        <v>54</v>
      </c>
      <c r="D9" s="1">
        <v>2</v>
      </c>
      <c r="E9" s="1">
        <v>2103</v>
      </c>
      <c r="F9" s="15">
        <v>10.999999999999961</v>
      </c>
    </row>
    <row r="10" spans="1:6" x14ac:dyDescent="0.2">
      <c r="A10" s="1">
        <v>1</v>
      </c>
      <c r="B10" s="1" t="s">
        <v>14</v>
      </c>
      <c r="C10" s="1" t="s">
        <v>54</v>
      </c>
      <c r="D10" s="1">
        <v>2</v>
      </c>
      <c r="E10" s="1">
        <v>2097</v>
      </c>
      <c r="F10" s="15">
        <v>28.999999999999979</v>
      </c>
    </row>
    <row r="11" spans="1:6" x14ac:dyDescent="0.2">
      <c r="A11" s="1">
        <v>1</v>
      </c>
      <c r="B11" s="1" t="s">
        <v>60</v>
      </c>
      <c r="C11" s="1" t="s">
        <v>54</v>
      </c>
      <c r="D11" s="1">
        <v>3</v>
      </c>
      <c r="E11" s="1">
        <v>2074</v>
      </c>
      <c r="F11" s="15">
        <v>18.999999999999932</v>
      </c>
    </row>
    <row r="12" spans="1:6" x14ac:dyDescent="0.2">
      <c r="A12" s="1">
        <v>1</v>
      </c>
      <c r="B12" s="1" t="s">
        <v>60</v>
      </c>
      <c r="C12" s="1" t="s">
        <v>54</v>
      </c>
      <c r="D12" s="1">
        <v>3</v>
      </c>
      <c r="E12" s="1">
        <v>2075</v>
      </c>
      <c r="F12" s="15">
        <v>31.999999999999964</v>
      </c>
    </row>
    <row r="13" spans="1:6" x14ac:dyDescent="0.2">
      <c r="A13" s="1">
        <v>1</v>
      </c>
      <c r="B13" s="1" t="s">
        <v>60</v>
      </c>
      <c r="C13" s="1" t="s">
        <v>54</v>
      </c>
      <c r="D13" s="1">
        <v>3</v>
      </c>
      <c r="E13" s="1">
        <v>2076</v>
      </c>
      <c r="F13" s="15">
        <v>22</v>
      </c>
    </row>
    <row r="14" spans="1:6" x14ac:dyDescent="0.2">
      <c r="A14" s="1">
        <v>1</v>
      </c>
      <c r="B14" s="1" t="s">
        <v>60</v>
      </c>
      <c r="C14" s="1" t="s">
        <v>54</v>
      </c>
      <c r="D14" s="1">
        <v>3</v>
      </c>
      <c r="E14" s="1">
        <v>2096</v>
      </c>
      <c r="F14" s="15">
        <v>4.9999999999999822</v>
      </c>
    </row>
    <row r="15" spans="1:6" x14ac:dyDescent="0.2">
      <c r="A15" s="1">
        <v>1</v>
      </c>
      <c r="B15" s="1" t="s">
        <v>60</v>
      </c>
      <c r="C15" s="1" t="s">
        <v>54</v>
      </c>
      <c r="D15" s="1">
        <v>4</v>
      </c>
      <c r="E15" s="1">
        <v>2085</v>
      </c>
      <c r="F15" s="15">
        <v>4.9999999999999822</v>
      </c>
    </row>
    <row r="16" spans="1:6" x14ac:dyDescent="0.2">
      <c r="A16" s="1">
        <v>1</v>
      </c>
      <c r="B16" s="1" t="s">
        <v>60</v>
      </c>
      <c r="C16" s="1" t="s">
        <v>54</v>
      </c>
      <c r="D16" s="1">
        <v>4</v>
      </c>
      <c r="E16" s="1">
        <v>2088</v>
      </c>
      <c r="F16" s="15">
        <v>1.9999999999999929</v>
      </c>
    </row>
    <row r="17" spans="1:6" x14ac:dyDescent="0.2">
      <c r="A17" s="1">
        <v>1</v>
      </c>
      <c r="B17" s="1" t="s">
        <v>60</v>
      </c>
      <c r="C17" s="1" t="s">
        <v>54</v>
      </c>
      <c r="D17" s="1">
        <v>4</v>
      </c>
      <c r="E17" s="1">
        <v>2089</v>
      </c>
      <c r="F17" s="15">
        <v>14.00000000000003</v>
      </c>
    </row>
    <row r="18" spans="1:6" x14ac:dyDescent="0.2">
      <c r="A18" s="1">
        <v>1</v>
      </c>
      <c r="B18" s="1" t="s">
        <v>60</v>
      </c>
      <c r="C18" s="1" t="s">
        <v>54</v>
      </c>
      <c r="D18" s="1">
        <v>4</v>
      </c>
      <c r="E18" s="1">
        <v>2092</v>
      </c>
      <c r="F18" s="15">
        <v>16.99999999999994</v>
      </c>
    </row>
    <row r="19" spans="1:6" x14ac:dyDescent="0.2">
      <c r="A19" s="1">
        <v>1</v>
      </c>
      <c r="B19" s="1" t="s">
        <v>60</v>
      </c>
      <c r="C19" s="1" t="s">
        <v>55</v>
      </c>
      <c r="D19" s="1">
        <v>5</v>
      </c>
      <c r="E19" s="1">
        <v>2077</v>
      </c>
      <c r="F19" s="15">
        <v>19.000000000000014</v>
      </c>
    </row>
    <row r="20" spans="1:6" x14ac:dyDescent="0.2">
      <c r="A20" s="1">
        <v>1</v>
      </c>
      <c r="B20" s="1" t="s">
        <v>60</v>
      </c>
      <c r="C20" s="1" t="s">
        <v>55</v>
      </c>
      <c r="D20" s="1">
        <v>5</v>
      </c>
      <c r="E20" s="1">
        <v>2078</v>
      </c>
      <c r="F20" s="15">
        <v>24.999999999999993</v>
      </c>
    </row>
    <row r="21" spans="1:6" x14ac:dyDescent="0.2">
      <c r="A21" s="1">
        <v>1</v>
      </c>
      <c r="B21" s="1" t="s">
        <v>60</v>
      </c>
      <c r="C21" s="1" t="s">
        <v>55</v>
      </c>
      <c r="D21" s="1">
        <v>5</v>
      </c>
      <c r="E21" s="1">
        <v>2081</v>
      </c>
      <c r="F21" s="15">
        <v>17.000000000000021</v>
      </c>
    </row>
    <row r="22" spans="1:6" x14ac:dyDescent="0.2">
      <c r="A22" s="1">
        <v>1</v>
      </c>
      <c r="B22" s="1" t="s">
        <v>60</v>
      </c>
      <c r="C22" s="1" t="s">
        <v>55</v>
      </c>
      <c r="D22" s="1">
        <v>6</v>
      </c>
      <c r="E22" s="1">
        <v>2098</v>
      </c>
      <c r="F22" s="26"/>
    </row>
    <row r="23" spans="1:6" x14ac:dyDescent="0.2">
      <c r="A23" s="1">
        <v>1</v>
      </c>
      <c r="B23" s="1" t="s">
        <v>60</v>
      </c>
      <c r="C23" s="1" t="s">
        <v>55</v>
      </c>
      <c r="D23" s="1">
        <v>6</v>
      </c>
      <c r="E23" s="1">
        <v>2099</v>
      </c>
      <c r="F23" s="15">
        <v>21.000000000000007</v>
      </c>
    </row>
    <row r="24" spans="1:6" x14ac:dyDescent="0.2">
      <c r="A24" s="1">
        <v>1</v>
      </c>
      <c r="B24" s="1" t="s">
        <v>60</v>
      </c>
      <c r="C24" s="1" t="s">
        <v>55</v>
      </c>
      <c r="D24" s="1">
        <v>6</v>
      </c>
      <c r="E24" s="1">
        <v>2095</v>
      </c>
      <c r="F24" s="15">
        <v>14.00000000000003</v>
      </c>
    </row>
    <row r="25" spans="1:6" x14ac:dyDescent="0.2">
      <c r="A25" s="1">
        <v>1</v>
      </c>
      <c r="B25" s="1" t="s">
        <v>60</v>
      </c>
      <c r="C25" s="1" t="s">
        <v>55</v>
      </c>
      <c r="D25" s="1">
        <v>7</v>
      </c>
      <c r="E25" s="1">
        <v>2104</v>
      </c>
      <c r="F25" s="15">
        <v>14.00000000000003</v>
      </c>
    </row>
    <row r="26" spans="1:6" x14ac:dyDescent="0.2">
      <c r="A26" s="1">
        <v>1</v>
      </c>
      <c r="B26" s="1" t="s">
        <v>60</v>
      </c>
      <c r="C26" s="1" t="s">
        <v>55</v>
      </c>
      <c r="D26" s="1">
        <v>7</v>
      </c>
      <c r="E26" s="1">
        <v>2016</v>
      </c>
      <c r="F26" s="15">
        <v>5.0000000000000622</v>
      </c>
    </row>
    <row r="27" spans="1:6" x14ac:dyDescent="0.2">
      <c r="A27" s="1">
        <v>2</v>
      </c>
      <c r="B27" s="1" t="s">
        <v>14</v>
      </c>
      <c r="C27" s="1" t="s">
        <v>54</v>
      </c>
      <c r="D27" s="1">
        <v>8</v>
      </c>
      <c r="E27" s="1">
        <v>2125</v>
      </c>
      <c r="F27" s="1">
        <v>0</v>
      </c>
    </row>
    <row r="28" spans="1:6" x14ac:dyDescent="0.2">
      <c r="A28" s="1">
        <v>2</v>
      </c>
      <c r="B28" s="1" t="s">
        <v>14</v>
      </c>
      <c r="C28" s="1" t="s">
        <v>54</v>
      </c>
      <c r="D28" s="1">
        <v>8</v>
      </c>
      <c r="E28" s="1">
        <v>2126</v>
      </c>
      <c r="F28" s="1">
        <v>60</v>
      </c>
    </row>
    <row r="29" spans="1:6" x14ac:dyDescent="0.2">
      <c r="A29" s="1">
        <v>2</v>
      </c>
      <c r="B29" s="1" t="s">
        <v>14</v>
      </c>
      <c r="C29" s="1" t="s">
        <v>54</v>
      </c>
      <c r="D29" s="1">
        <v>8</v>
      </c>
      <c r="E29" s="1">
        <v>2127</v>
      </c>
      <c r="F29" s="1">
        <v>17.000000000000021</v>
      </c>
    </row>
    <row r="30" spans="1:6" x14ac:dyDescent="0.2">
      <c r="A30" s="1">
        <v>2</v>
      </c>
      <c r="B30" s="1" t="s">
        <v>14</v>
      </c>
      <c r="C30" s="1" t="s">
        <v>54</v>
      </c>
      <c r="D30" s="1">
        <v>8</v>
      </c>
      <c r="E30" s="1">
        <v>2128</v>
      </c>
      <c r="F30" s="1">
        <v>0</v>
      </c>
    </row>
    <row r="31" spans="1:6" x14ac:dyDescent="0.2">
      <c r="A31" s="1">
        <v>2</v>
      </c>
      <c r="B31" s="1" t="s">
        <v>14</v>
      </c>
      <c r="C31" s="1" t="s">
        <v>54</v>
      </c>
      <c r="D31" s="1">
        <v>8</v>
      </c>
      <c r="E31" s="1">
        <v>2130</v>
      </c>
      <c r="F31" s="1">
        <v>0</v>
      </c>
    </row>
    <row r="32" spans="1:6" x14ac:dyDescent="0.2">
      <c r="A32" s="1">
        <v>2</v>
      </c>
      <c r="B32" s="1" t="s">
        <v>60</v>
      </c>
      <c r="C32" s="1" t="s">
        <v>54</v>
      </c>
      <c r="D32" s="1">
        <v>9</v>
      </c>
      <c r="E32" s="1">
        <v>2121</v>
      </c>
      <c r="F32" s="1">
        <v>31.00000000000005</v>
      </c>
    </row>
    <row r="33" spans="1:6" x14ac:dyDescent="0.2">
      <c r="A33" s="1">
        <v>2</v>
      </c>
      <c r="B33" s="1" t="s">
        <v>60</v>
      </c>
      <c r="C33" s="1" t="s">
        <v>54</v>
      </c>
      <c r="D33" s="1">
        <v>9</v>
      </c>
      <c r="E33" s="1">
        <v>2122</v>
      </c>
      <c r="F33" s="1">
        <v>17.000000000000021</v>
      </c>
    </row>
    <row r="34" spans="1:6" x14ac:dyDescent="0.2">
      <c r="A34" s="1">
        <v>2</v>
      </c>
      <c r="B34" s="1" t="s">
        <v>60</v>
      </c>
      <c r="C34" s="1" t="s">
        <v>54</v>
      </c>
      <c r="D34" s="1">
        <v>9</v>
      </c>
      <c r="E34" s="1">
        <v>2124</v>
      </c>
      <c r="F34" s="1">
        <v>16.99999999999994</v>
      </c>
    </row>
    <row r="35" spans="1:6" x14ac:dyDescent="0.2">
      <c r="A35" s="1">
        <v>2</v>
      </c>
      <c r="B35" s="1" t="s">
        <v>60</v>
      </c>
      <c r="C35" s="1" t="s">
        <v>55</v>
      </c>
      <c r="D35" s="1">
        <v>10</v>
      </c>
      <c r="E35" s="1">
        <v>2129</v>
      </c>
      <c r="F35" s="1">
        <v>0</v>
      </c>
    </row>
    <row r="36" spans="1:6" x14ac:dyDescent="0.2">
      <c r="A36" s="1">
        <v>2</v>
      </c>
      <c r="B36" s="1" t="s">
        <v>60</v>
      </c>
      <c r="C36" s="1" t="s">
        <v>55</v>
      </c>
      <c r="D36" s="1">
        <v>10</v>
      </c>
      <c r="E36" s="1">
        <v>2131</v>
      </c>
      <c r="F36" s="1">
        <v>22</v>
      </c>
    </row>
    <row r="37" spans="1:6" x14ac:dyDescent="0.2">
      <c r="A37" s="1">
        <v>2</v>
      </c>
      <c r="B37" s="1" t="s">
        <v>60</v>
      </c>
      <c r="C37" s="1" t="s">
        <v>55</v>
      </c>
      <c r="D37" s="1">
        <v>11</v>
      </c>
      <c r="E37" s="1">
        <v>2134</v>
      </c>
      <c r="F37" s="17">
        <v>18.000000000000014</v>
      </c>
    </row>
    <row r="38" spans="1:6" x14ac:dyDescent="0.2">
      <c r="A38" s="1">
        <v>2</v>
      </c>
      <c r="B38" s="1" t="s">
        <v>60</v>
      </c>
      <c r="C38" s="1" t="s">
        <v>55</v>
      </c>
      <c r="D38" s="1">
        <v>11</v>
      </c>
      <c r="E38" s="1">
        <v>2135</v>
      </c>
      <c r="F38" s="1">
        <v>0</v>
      </c>
    </row>
    <row r="39" spans="1:6" x14ac:dyDescent="0.2">
      <c r="A39" s="1">
        <v>2</v>
      </c>
      <c r="B39" s="1" t="s">
        <v>60</v>
      </c>
      <c r="C39" s="1" t="s">
        <v>55</v>
      </c>
      <c r="D39" s="1">
        <v>11</v>
      </c>
      <c r="E39" s="1">
        <v>2136</v>
      </c>
      <c r="F39" s="1">
        <v>47.000000000000071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Cohort 1</vt:lpstr>
      <vt:lpstr>Cohort 2</vt:lpstr>
      <vt:lpstr>Beam</vt:lpstr>
      <vt:lpstr>Beam_steps</vt:lpstr>
      <vt:lpstr>Pole</vt:lpstr>
      <vt:lpstr>Wirehang</vt:lpstr>
      <vt:lpstr>Sticker</vt:lpstr>
      <vt:lpstr>Hindlimb</vt:lpstr>
      <vt:lpstr>Fecal_output</vt:lpstr>
      <vt:lpstr>Fecal_score</vt:lpstr>
      <vt:lpstr>Water_content</vt:lpstr>
      <vt:lpstr>Carmine_red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Moiseyenko, Anastasiya (Ana)</dc:creator>
  <cp:lastModifiedBy>Moiseyenko, Anastasiya (Ana)</cp:lastModifiedBy>
  <dcterms:created xsi:type="dcterms:W3CDTF">2024-05-08T22:23:12Z</dcterms:created>
  <dcterms:modified xsi:type="dcterms:W3CDTF">2025-06-07T05:22:02Z</dcterms:modified>
</cp:coreProperties>
</file>