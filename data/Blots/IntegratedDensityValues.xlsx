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lots/"/>
    </mc:Choice>
  </mc:AlternateContent>
  <xr:revisionPtr revIDLastSave="266" documentId="8_{371BD6E5-87C9-F343-9FD6-8352DC867066}" xr6:coauthVersionLast="47" xr6:coauthVersionMax="47" xr10:uidLastSave="{BA75B14C-54E2-CD47-A3A7-4CC9B29C6234}"/>
  <bookViews>
    <workbookView xWindow="160" yWindow="680" windowWidth="25960" windowHeight="17320" xr2:uid="{8E3BFF54-A4D6-D54D-B330-3F5950D77BAD}"/>
  </bookViews>
  <sheets>
    <sheet name="Fp1 SN - Western" sheetId="1" r:id="rId1"/>
    <sheet name="Fp2 SN - Western" sheetId="2" r:id="rId2"/>
    <sheet name="Fp1 ST - Western" sheetId="4" r:id="rId3"/>
    <sheet name="Fp2 ST - Western" sheetId="5" r:id="rId4"/>
    <sheet name="Fp1 SN - Dot blot" sheetId="7" r:id="rId5"/>
    <sheet name="Fp2 SN - Dot blot" sheetId="10" r:id="rId6"/>
    <sheet name="Fp1 ST - Dot blot" sheetId="9" r:id="rId7"/>
    <sheet name="Fp2 ST - Dot blot" sheetId="8" r:id="rId8"/>
    <sheet name="benCom SN - Western" sheetId="3" r:id="rId9"/>
    <sheet name="benCom ST - Western" sheetId="6" r:id="rId10"/>
    <sheet name="benCom SN - Dot blot" sheetId="11" r:id="rId11"/>
    <sheet name="benCom ST - Dot blo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5" l="1"/>
  <c r="E16" i="5"/>
  <c r="J16" i="5" s="1"/>
  <c r="I15" i="5"/>
  <c r="E15" i="5"/>
  <c r="J15" i="5" s="1"/>
  <c r="I14" i="5"/>
  <c r="E14" i="5"/>
  <c r="I13" i="5"/>
  <c r="E13" i="5"/>
  <c r="J13" i="5" s="1"/>
  <c r="I12" i="5"/>
  <c r="E12" i="5"/>
  <c r="J12" i="5" s="1"/>
  <c r="I11" i="5"/>
  <c r="E11" i="5"/>
  <c r="I10" i="5"/>
  <c r="E10" i="5"/>
  <c r="J10" i="5" s="1"/>
  <c r="I9" i="5"/>
  <c r="E9" i="5"/>
  <c r="I8" i="5"/>
  <c r="E8" i="5"/>
  <c r="J8" i="5" s="1"/>
  <c r="I7" i="5"/>
  <c r="E7" i="5"/>
  <c r="I6" i="5"/>
  <c r="E6" i="5"/>
  <c r="I5" i="5"/>
  <c r="E5" i="5"/>
  <c r="I4" i="5"/>
  <c r="E4" i="5"/>
  <c r="J4" i="5" s="1"/>
  <c r="I3" i="5"/>
  <c r="E3" i="5"/>
  <c r="J3" i="5" s="1"/>
  <c r="E16" i="2"/>
  <c r="E6" i="2"/>
  <c r="I14" i="2"/>
  <c r="I16" i="2"/>
  <c r="I15" i="2"/>
  <c r="E15" i="2"/>
  <c r="E14" i="2"/>
  <c r="I13" i="2"/>
  <c r="E13" i="2"/>
  <c r="J13" i="2" s="1"/>
  <c r="I12" i="2"/>
  <c r="E12" i="2"/>
  <c r="I11" i="2"/>
  <c r="E11" i="2"/>
  <c r="I10" i="2"/>
  <c r="E10" i="2"/>
  <c r="J10" i="2" s="1"/>
  <c r="I9" i="2"/>
  <c r="E9" i="2"/>
  <c r="I8" i="2"/>
  <c r="E8" i="2"/>
  <c r="J8" i="2" s="1"/>
  <c r="I7" i="2"/>
  <c r="E7" i="2"/>
  <c r="J7" i="2" s="1"/>
  <c r="I6" i="2"/>
  <c r="I5" i="2"/>
  <c r="E5" i="2"/>
  <c r="J5" i="2" s="1"/>
  <c r="I4" i="2"/>
  <c r="E4" i="2"/>
  <c r="I3" i="2"/>
  <c r="E3" i="2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I3" i="6"/>
  <c r="E20" i="6"/>
  <c r="E5" i="6" s="1"/>
  <c r="J5" i="6" s="1"/>
  <c r="E19" i="6"/>
  <c r="E18" i="6"/>
  <c r="I16" i="6"/>
  <c r="E16" i="6"/>
  <c r="J16" i="6" s="1"/>
  <c r="I15" i="6"/>
  <c r="E15" i="6"/>
  <c r="I14" i="6"/>
  <c r="E14" i="6"/>
  <c r="J14" i="6" s="1"/>
  <c r="I13" i="6"/>
  <c r="E13" i="6"/>
  <c r="I12" i="6"/>
  <c r="E12" i="6"/>
  <c r="I11" i="6"/>
  <c r="E11" i="6"/>
  <c r="J11" i="6" s="1"/>
  <c r="I10" i="6"/>
  <c r="E10" i="6"/>
  <c r="J10" i="6" s="1"/>
  <c r="I9" i="6"/>
  <c r="E9" i="6"/>
  <c r="J9" i="6" s="1"/>
  <c r="I8" i="6"/>
  <c r="E8" i="6"/>
  <c r="J8" i="6" s="1"/>
  <c r="I7" i="6"/>
  <c r="E7" i="6"/>
  <c r="I6" i="6"/>
  <c r="E6" i="6"/>
  <c r="J6" i="6" s="1"/>
  <c r="I5" i="6"/>
  <c r="I4" i="6"/>
  <c r="I13" i="3"/>
  <c r="I3" i="3"/>
  <c r="E20" i="3"/>
  <c r="E5" i="3" s="1"/>
  <c r="E19" i="3"/>
  <c r="E7" i="3" s="1"/>
  <c r="E18" i="3"/>
  <c r="E14" i="3" s="1"/>
  <c r="I16" i="3"/>
  <c r="I15" i="3"/>
  <c r="I14" i="3"/>
  <c r="I12" i="3"/>
  <c r="E12" i="3"/>
  <c r="J12" i="3" s="1"/>
  <c r="I11" i="3"/>
  <c r="I10" i="3"/>
  <c r="I9" i="3"/>
  <c r="I8" i="3"/>
  <c r="E8" i="3"/>
  <c r="J8" i="3" s="1"/>
  <c r="I7" i="3"/>
  <c r="I6" i="3"/>
  <c r="I5" i="3"/>
  <c r="I4" i="3"/>
  <c r="E3" i="6" l="1"/>
  <c r="J7" i="6"/>
  <c r="J15" i="6"/>
  <c r="J12" i="6"/>
  <c r="E4" i="6"/>
  <c r="J4" i="6" s="1"/>
  <c r="E9" i="3"/>
  <c r="J9" i="3" s="1"/>
  <c r="E3" i="3"/>
  <c r="J3" i="3" s="1"/>
  <c r="J15" i="3"/>
  <c r="E13" i="3"/>
  <c r="J13" i="3" s="1"/>
  <c r="E4" i="3"/>
  <c r="J4" i="3" s="1"/>
  <c r="E10" i="3"/>
  <c r="J10" i="3" s="1"/>
  <c r="E15" i="3"/>
  <c r="E6" i="3"/>
  <c r="J6" i="3" s="1"/>
  <c r="E11" i="3"/>
  <c r="J11" i="3" s="1"/>
  <c r="E16" i="3"/>
  <c r="J6" i="5"/>
  <c r="J14" i="5"/>
  <c r="J11" i="5"/>
  <c r="J14" i="2"/>
  <c r="J15" i="2"/>
  <c r="J11" i="2"/>
  <c r="J3" i="2"/>
  <c r="J6" i="2"/>
  <c r="J4" i="2"/>
  <c r="J7" i="5"/>
  <c r="J5" i="5"/>
  <c r="J9" i="5"/>
  <c r="J12" i="2"/>
  <c r="J16" i="2"/>
  <c r="J9" i="2"/>
  <c r="J13" i="6"/>
  <c r="J3" i="6"/>
  <c r="J14" i="3"/>
  <c r="J16" i="3"/>
  <c r="J5" i="3"/>
  <c r="J7" i="3"/>
</calcChain>
</file>

<file path=xl/sharedStrings.xml><?xml version="1.0" encoding="utf-8"?>
<sst xmlns="http://schemas.openxmlformats.org/spreadsheetml/2006/main" count="297" uniqueCount="22">
  <si>
    <t>WT</t>
  </si>
  <si>
    <t>ASO-Cntrl</t>
  </si>
  <si>
    <t>ASO-benCom</t>
  </si>
  <si>
    <t>ASO-Fp</t>
  </si>
  <si>
    <t>bkgrnd bC</t>
  </si>
  <si>
    <t>bkgrnd C</t>
  </si>
  <si>
    <t>bkgrnd W</t>
  </si>
  <si>
    <t>p-aSyn</t>
  </si>
  <si>
    <t>Integrated density</t>
  </si>
  <si>
    <t>Area</t>
  </si>
  <si>
    <t>p-aSyn minus background</t>
  </si>
  <si>
    <t>bkgrnd benCom</t>
  </si>
  <si>
    <t>bkgrnd Cntrl</t>
  </si>
  <si>
    <t>bkgrnd WT</t>
  </si>
  <si>
    <t>p-aSyn final</t>
  </si>
  <si>
    <t>B-actin</t>
  </si>
  <si>
    <t>B-actin final</t>
  </si>
  <si>
    <t>p-aSyn/B-actin</t>
  </si>
  <si>
    <t>Sample type</t>
  </si>
  <si>
    <t>Sample #</t>
  </si>
  <si>
    <t>Relative integrated density</t>
  </si>
  <si>
    <t>Integrated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</si>
</sst>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CB68-19F9-2643-A104-BCDA8E843CE7}">
  <dimension ref="A1:E16"/>
  <sheetViews>
    <sheetView tabSelected="1" workbookViewId="0">
      <selection activeCell="H21" sqref="H21"/>
    </sheetView>
  </sheetViews>
  <sheetFormatPr baseColWidth="10" defaultRowHeight="16" x14ac:dyDescent="0.2"/>
  <sheetData>
    <row r="1" spans="1:5" x14ac:dyDescent="0.2">
      <c r="A1" s="3"/>
      <c r="B1" s="3"/>
      <c r="C1" s="4" t="s">
        <v>7</v>
      </c>
      <c r="D1" s="4" t="s">
        <v>15</v>
      </c>
      <c r="E1" s="4" t="s">
        <v>20</v>
      </c>
    </row>
    <row r="2" spans="1:5" x14ac:dyDescent="0.2">
      <c r="A2" s="3" t="s">
        <v>18</v>
      </c>
      <c r="B2" s="5" t="s">
        <v>19</v>
      </c>
      <c r="C2" s="4" t="s">
        <v>8</v>
      </c>
      <c r="D2" s="4" t="s">
        <v>8</v>
      </c>
      <c r="E2" s="4" t="s">
        <v>17</v>
      </c>
    </row>
    <row r="3" spans="1:5" x14ac:dyDescent="0.2">
      <c r="A3" s="2" t="s">
        <v>0</v>
      </c>
      <c r="B3" s="2">
        <v>1</v>
      </c>
      <c r="C3">
        <v>40073</v>
      </c>
      <c r="D3">
        <v>163183</v>
      </c>
      <c r="E3">
        <f>C3/D3</f>
        <v>0.24557092344178008</v>
      </c>
    </row>
    <row r="4" spans="1:5" x14ac:dyDescent="0.2">
      <c r="A4" s="2" t="s">
        <v>0</v>
      </c>
      <c r="B4" s="2">
        <v>2</v>
      </c>
      <c r="C4">
        <v>35745</v>
      </c>
      <c r="D4">
        <v>204323</v>
      </c>
      <c r="E4">
        <f t="shared" ref="E4:E16" si="0">C4/D4</f>
        <v>0.17494359421112651</v>
      </c>
    </row>
    <row r="5" spans="1:5" x14ac:dyDescent="0.2">
      <c r="A5" s="2" t="s">
        <v>0</v>
      </c>
      <c r="B5" s="2">
        <v>3</v>
      </c>
      <c r="C5">
        <v>34040</v>
      </c>
      <c r="D5">
        <v>171808</v>
      </c>
      <c r="E5">
        <f t="shared" si="0"/>
        <v>0.19812814304339729</v>
      </c>
    </row>
    <row r="6" spans="1:5" x14ac:dyDescent="0.2">
      <c r="A6" s="2" t="s">
        <v>1</v>
      </c>
      <c r="B6" s="2">
        <v>1</v>
      </c>
      <c r="C6">
        <v>116205</v>
      </c>
      <c r="D6">
        <v>119625</v>
      </c>
      <c r="E6">
        <f t="shared" si="0"/>
        <v>0.97141065830721007</v>
      </c>
    </row>
    <row r="7" spans="1:5" x14ac:dyDescent="0.2">
      <c r="A7" s="2" t="s">
        <v>1</v>
      </c>
      <c r="B7" s="2">
        <v>2</v>
      </c>
      <c r="C7">
        <v>129244</v>
      </c>
      <c r="D7">
        <v>122229</v>
      </c>
      <c r="E7">
        <f t="shared" si="0"/>
        <v>1.0573922718831046</v>
      </c>
    </row>
    <row r="8" spans="1:5" x14ac:dyDescent="0.2">
      <c r="A8" s="2" t="s">
        <v>1</v>
      </c>
      <c r="B8" s="2">
        <v>3</v>
      </c>
      <c r="C8">
        <v>120511</v>
      </c>
      <c r="D8">
        <v>214191</v>
      </c>
      <c r="E8">
        <f t="shared" si="0"/>
        <v>0.5626333506076352</v>
      </c>
    </row>
    <row r="9" spans="1:5" x14ac:dyDescent="0.2">
      <c r="A9" s="2" t="s">
        <v>1</v>
      </c>
      <c r="B9" s="2">
        <v>4</v>
      </c>
      <c r="C9">
        <v>155618</v>
      </c>
      <c r="D9">
        <v>181446</v>
      </c>
      <c r="E9">
        <f t="shared" si="0"/>
        <v>0.85765461900510342</v>
      </c>
    </row>
    <row r="10" spans="1:5" x14ac:dyDescent="0.2">
      <c r="A10" s="2" t="s">
        <v>1</v>
      </c>
      <c r="B10" s="2">
        <v>5</v>
      </c>
      <c r="C10">
        <v>181802</v>
      </c>
      <c r="D10">
        <v>135867</v>
      </c>
      <c r="E10">
        <f t="shared" si="0"/>
        <v>1.338087983101121</v>
      </c>
    </row>
    <row r="11" spans="1:5" x14ac:dyDescent="0.2">
      <c r="A11" s="2" t="s">
        <v>3</v>
      </c>
      <c r="B11" s="2">
        <v>1</v>
      </c>
      <c r="C11">
        <v>140215</v>
      </c>
      <c r="D11">
        <v>185569</v>
      </c>
      <c r="E11">
        <f t="shared" si="0"/>
        <v>0.75559495389854991</v>
      </c>
    </row>
    <row r="12" spans="1:5" x14ac:dyDescent="0.2">
      <c r="A12" s="2" t="s">
        <v>3</v>
      </c>
      <c r="B12" s="2">
        <v>2</v>
      </c>
      <c r="C12">
        <v>127902</v>
      </c>
      <c r="D12">
        <v>191375</v>
      </c>
      <c r="E12">
        <f t="shared" si="0"/>
        <v>0.6683318092749837</v>
      </c>
    </row>
    <row r="13" spans="1:5" x14ac:dyDescent="0.2">
      <c r="A13" s="2" t="s">
        <v>3</v>
      </c>
      <c r="B13" s="2">
        <v>3</v>
      </c>
      <c r="C13">
        <v>173976</v>
      </c>
      <c r="D13">
        <v>200053</v>
      </c>
      <c r="E13">
        <f t="shared" si="0"/>
        <v>0.86964954287113916</v>
      </c>
    </row>
    <row r="14" spans="1:5" x14ac:dyDescent="0.2">
      <c r="A14" s="2" t="s">
        <v>3</v>
      </c>
      <c r="B14" s="2">
        <v>4</v>
      </c>
      <c r="C14">
        <v>164862</v>
      </c>
      <c r="D14">
        <v>183897</v>
      </c>
      <c r="E14">
        <f t="shared" si="0"/>
        <v>0.89649097048891502</v>
      </c>
    </row>
    <row r="15" spans="1:5" x14ac:dyDescent="0.2">
      <c r="A15" s="2" t="s">
        <v>3</v>
      </c>
      <c r="B15" s="2">
        <v>5</v>
      </c>
      <c r="C15">
        <v>126010</v>
      </c>
      <c r="D15">
        <v>75701</v>
      </c>
      <c r="E15">
        <f t="shared" si="0"/>
        <v>1.6645751046881812</v>
      </c>
    </row>
    <row r="16" spans="1:5" x14ac:dyDescent="0.2">
      <c r="A16" s="2" t="s">
        <v>3</v>
      </c>
      <c r="B16" s="2">
        <v>6</v>
      </c>
      <c r="C16">
        <v>129149</v>
      </c>
      <c r="D16">
        <v>130007</v>
      </c>
      <c r="E16">
        <f t="shared" si="0"/>
        <v>0.99340035536548033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CE89-4830-6542-A5F5-CFCC7035A2D0}">
  <dimension ref="A1:J16"/>
  <sheetViews>
    <sheetView workbookViewId="0">
      <selection activeCell="D17" sqref="D17"/>
    </sheetView>
  </sheetViews>
  <sheetFormatPr baseColWidth="10" defaultRowHeight="16" x14ac:dyDescent="0.2"/>
  <sheetData>
    <row r="1" spans="1:10" x14ac:dyDescent="0.2">
      <c r="A1" s="3"/>
      <c r="B1" s="3"/>
      <c r="C1" s="4" t="s">
        <v>7</v>
      </c>
      <c r="D1" s="4"/>
      <c r="F1" s="4"/>
      <c r="G1" s="4" t="s">
        <v>15</v>
      </c>
      <c r="H1" s="4"/>
      <c r="I1" s="4"/>
      <c r="J1" s="4" t="s">
        <v>20</v>
      </c>
    </row>
    <row r="2" spans="1:10" x14ac:dyDescent="0.2">
      <c r="A2" s="3" t="s">
        <v>18</v>
      </c>
      <c r="B2" s="5" t="s">
        <v>19</v>
      </c>
      <c r="C2" s="4" t="s">
        <v>8</v>
      </c>
      <c r="D2" s="4" t="s">
        <v>9</v>
      </c>
      <c r="E2" s="4" t="s">
        <v>14</v>
      </c>
      <c r="F2" s="4"/>
      <c r="G2" s="4" t="s">
        <v>8</v>
      </c>
      <c r="H2" s="4" t="s">
        <v>9</v>
      </c>
      <c r="I2" s="4" t="s">
        <v>16</v>
      </c>
      <c r="J2" s="4" t="s">
        <v>17</v>
      </c>
    </row>
    <row r="3" spans="1:10" x14ac:dyDescent="0.2">
      <c r="A3" s="2" t="s">
        <v>0</v>
      </c>
      <c r="B3">
        <v>1</v>
      </c>
      <c r="C3">
        <v>1361</v>
      </c>
      <c r="D3">
        <v>2146</v>
      </c>
      <c r="E3">
        <f>C3/D3</f>
        <v>0.6342031686859273</v>
      </c>
      <c r="G3">
        <v>79831</v>
      </c>
      <c r="H3">
        <v>1232</v>
      </c>
      <c r="I3">
        <f>G3/H3</f>
        <v>64.797889610389603</v>
      </c>
      <c r="J3">
        <f>E3/I3</f>
        <v>9.7874046901712686E-3</v>
      </c>
    </row>
    <row r="4" spans="1:10" x14ac:dyDescent="0.2">
      <c r="A4" s="2" t="s">
        <v>0</v>
      </c>
      <c r="B4">
        <v>2</v>
      </c>
      <c r="C4">
        <v>12760</v>
      </c>
      <c r="D4">
        <v>2146</v>
      </c>
      <c r="E4">
        <f t="shared" ref="E4:E16" si="0">C4/D4</f>
        <v>5.9459459459459456</v>
      </c>
      <c r="G4">
        <v>151349</v>
      </c>
      <c r="H4">
        <v>1232</v>
      </c>
      <c r="I4">
        <f t="shared" ref="I4:I16" si="1">G4/H4</f>
        <v>122.84821428571429</v>
      </c>
      <c r="J4">
        <f>E4/I4</f>
        <v>4.8400751940253353E-2</v>
      </c>
    </row>
    <row r="5" spans="1:10" x14ac:dyDescent="0.2">
      <c r="A5" s="2" t="s">
        <v>0</v>
      </c>
      <c r="B5">
        <v>4</v>
      </c>
      <c r="C5">
        <v>6066</v>
      </c>
      <c r="D5">
        <v>2146</v>
      </c>
      <c r="E5">
        <f t="shared" si="0"/>
        <v>2.8266542404473438</v>
      </c>
      <c r="G5">
        <v>134004</v>
      </c>
      <c r="H5">
        <v>1232</v>
      </c>
      <c r="I5">
        <f t="shared" si="1"/>
        <v>108.76948051948052</v>
      </c>
      <c r="J5">
        <f>E5/I5</f>
        <v>2.5987567716121367E-2</v>
      </c>
    </row>
    <row r="6" spans="1:10" x14ac:dyDescent="0.2">
      <c r="A6" s="2" t="s">
        <v>1</v>
      </c>
      <c r="B6">
        <v>1</v>
      </c>
      <c r="C6">
        <v>207558</v>
      </c>
      <c r="D6">
        <v>2146</v>
      </c>
      <c r="E6">
        <f>C6/D6</f>
        <v>96.718546132339242</v>
      </c>
      <c r="G6">
        <v>161890</v>
      </c>
      <c r="H6">
        <v>1232</v>
      </c>
      <c r="I6">
        <f t="shared" si="1"/>
        <v>131.40422077922079</v>
      </c>
      <c r="J6">
        <f>E6/I6</f>
        <v>0.73603835218384051</v>
      </c>
    </row>
    <row r="7" spans="1:10" x14ac:dyDescent="0.2">
      <c r="A7" s="2" t="s">
        <v>1</v>
      </c>
      <c r="B7">
        <v>2</v>
      </c>
      <c r="C7">
        <v>90178</v>
      </c>
      <c r="D7">
        <v>2146</v>
      </c>
      <c r="E7">
        <f t="shared" si="0"/>
        <v>42.021435228331782</v>
      </c>
      <c r="G7">
        <v>155767</v>
      </c>
      <c r="H7">
        <v>1232</v>
      </c>
      <c r="I7">
        <f t="shared" si="1"/>
        <v>126.43425324675324</v>
      </c>
      <c r="J7">
        <f>E7/I7</f>
        <v>0.33235799753031614</v>
      </c>
    </row>
    <row r="8" spans="1:10" x14ac:dyDescent="0.2">
      <c r="A8" s="2" t="s">
        <v>1</v>
      </c>
      <c r="B8">
        <v>3</v>
      </c>
      <c r="C8">
        <v>109430</v>
      </c>
      <c r="D8">
        <v>2146</v>
      </c>
      <c r="E8">
        <f t="shared" si="0"/>
        <v>50.992544268406334</v>
      </c>
      <c r="G8">
        <v>160417</v>
      </c>
      <c r="H8">
        <v>1232</v>
      </c>
      <c r="I8">
        <f t="shared" si="1"/>
        <v>130.20860389610391</v>
      </c>
      <c r="J8">
        <f>E8/I8</f>
        <v>0.39162192622151393</v>
      </c>
    </row>
    <row r="9" spans="1:10" x14ac:dyDescent="0.2">
      <c r="A9" s="2" t="s">
        <v>1</v>
      </c>
      <c r="B9">
        <v>4</v>
      </c>
      <c r="C9">
        <v>143502</v>
      </c>
      <c r="D9">
        <v>2146</v>
      </c>
      <c r="E9">
        <f t="shared" si="0"/>
        <v>66.869524697110904</v>
      </c>
      <c r="G9">
        <v>125688</v>
      </c>
      <c r="H9">
        <v>1232</v>
      </c>
      <c r="I9">
        <f t="shared" si="1"/>
        <v>102.01948051948052</v>
      </c>
      <c r="J9">
        <f>E9/I9</f>
        <v>0.65545839242282977</v>
      </c>
    </row>
    <row r="10" spans="1:10" x14ac:dyDescent="0.2">
      <c r="A10" s="2" t="s">
        <v>1</v>
      </c>
      <c r="B10">
        <v>5</v>
      </c>
      <c r="C10">
        <v>195458</v>
      </c>
      <c r="D10">
        <v>2146</v>
      </c>
      <c r="E10">
        <f t="shared" si="0"/>
        <v>91.08014911463188</v>
      </c>
      <c r="G10">
        <v>137892</v>
      </c>
      <c r="H10">
        <v>1232</v>
      </c>
      <c r="I10">
        <f t="shared" si="1"/>
        <v>111.92532467532467</v>
      </c>
      <c r="J10">
        <f>E10/I10</f>
        <v>0.81375818545837664</v>
      </c>
    </row>
    <row r="11" spans="1:10" x14ac:dyDescent="0.2">
      <c r="A11" s="2" t="s">
        <v>3</v>
      </c>
      <c r="B11">
        <v>1</v>
      </c>
      <c r="C11">
        <v>228016</v>
      </c>
      <c r="D11">
        <v>2146</v>
      </c>
      <c r="E11">
        <f t="shared" si="0"/>
        <v>106.25163094128611</v>
      </c>
      <c r="G11">
        <v>148430</v>
      </c>
      <c r="H11">
        <v>1232</v>
      </c>
      <c r="I11">
        <f t="shared" si="1"/>
        <v>120.4788961038961</v>
      </c>
      <c r="J11">
        <f>E11/I11</f>
        <v>0.88191072774819435</v>
      </c>
    </row>
    <row r="12" spans="1:10" x14ac:dyDescent="0.2">
      <c r="A12" s="2" t="s">
        <v>3</v>
      </c>
      <c r="B12">
        <v>2</v>
      </c>
      <c r="C12">
        <v>234320</v>
      </c>
      <c r="D12">
        <v>2146</v>
      </c>
      <c r="E12">
        <f t="shared" si="0"/>
        <v>109.18918918918919</v>
      </c>
      <c r="G12">
        <v>100940</v>
      </c>
      <c r="H12">
        <v>1232</v>
      </c>
      <c r="I12">
        <f t="shared" si="1"/>
        <v>81.931818181818187</v>
      </c>
      <c r="J12">
        <f>E12/I12</f>
        <v>1.3326835851107695</v>
      </c>
    </row>
    <row r="13" spans="1:10" x14ac:dyDescent="0.2">
      <c r="A13" s="2" t="s">
        <v>3</v>
      </c>
      <c r="B13">
        <v>3</v>
      </c>
      <c r="C13">
        <v>238376</v>
      </c>
      <c r="D13">
        <v>2146</v>
      </c>
      <c r="E13">
        <f t="shared" si="0"/>
        <v>111.07921714818266</v>
      </c>
      <c r="G13">
        <v>138887</v>
      </c>
      <c r="H13">
        <v>1232</v>
      </c>
      <c r="I13">
        <f t="shared" si="1"/>
        <v>112.73295454545455</v>
      </c>
      <c r="J13">
        <f>E13/I13</f>
        <v>0.98533048828588021</v>
      </c>
    </row>
    <row r="14" spans="1:10" x14ac:dyDescent="0.2">
      <c r="A14" s="2" t="s">
        <v>3</v>
      </c>
      <c r="B14">
        <v>4</v>
      </c>
      <c r="C14">
        <v>213097</v>
      </c>
      <c r="D14">
        <v>2146</v>
      </c>
      <c r="E14">
        <f t="shared" si="0"/>
        <v>99.299627213420322</v>
      </c>
      <c r="G14">
        <v>183890</v>
      </c>
      <c r="H14">
        <v>1232</v>
      </c>
      <c r="I14">
        <f>G14/H14</f>
        <v>149.26136363636363</v>
      </c>
      <c r="J14">
        <f>E14/I14</f>
        <v>0.66527348266318909</v>
      </c>
    </row>
    <row r="15" spans="1:10" x14ac:dyDescent="0.2">
      <c r="A15" s="2" t="s">
        <v>3</v>
      </c>
      <c r="B15">
        <v>5</v>
      </c>
      <c r="C15">
        <v>157776</v>
      </c>
      <c r="D15">
        <v>2146</v>
      </c>
      <c r="E15">
        <f t="shared" si="0"/>
        <v>73.520969245107182</v>
      </c>
      <c r="G15">
        <v>145704</v>
      </c>
      <c r="H15">
        <v>1232</v>
      </c>
      <c r="I15">
        <f t="shared" si="1"/>
        <v>118.26623376623377</v>
      </c>
      <c r="J15">
        <f>E15/I15</f>
        <v>0.62165646866230195</v>
      </c>
    </row>
    <row r="16" spans="1:10" x14ac:dyDescent="0.2">
      <c r="A16" s="2" t="s">
        <v>3</v>
      </c>
      <c r="B16">
        <v>6</v>
      </c>
      <c r="C16">
        <v>163432</v>
      </c>
      <c r="D16">
        <v>4081</v>
      </c>
      <c r="E16">
        <f>C16/D16</f>
        <v>40.047047292330312</v>
      </c>
      <c r="G16">
        <v>107229</v>
      </c>
      <c r="H16">
        <v>1232</v>
      </c>
      <c r="I16">
        <f t="shared" si="1"/>
        <v>87.036525974025977</v>
      </c>
      <c r="J16">
        <f>E16/I16</f>
        <v>0.46011771315736361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C9B8-5888-D642-BA16-6EDA701C4B28}">
  <dimension ref="A1:E16"/>
  <sheetViews>
    <sheetView workbookViewId="0">
      <selection sqref="A1:E17"/>
    </sheetView>
  </sheetViews>
  <sheetFormatPr baseColWidth="10" defaultRowHeight="16" x14ac:dyDescent="0.2"/>
  <sheetData>
    <row r="1" spans="1:5" x14ac:dyDescent="0.2">
      <c r="A1" s="3"/>
      <c r="B1" s="3"/>
      <c r="C1" s="4" t="s">
        <v>7</v>
      </c>
      <c r="D1" s="4" t="s">
        <v>15</v>
      </c>
      <c r="E1" s="4" t="s">
        <v>20</v>
      </c>
    </row>
    <row r="2" spans="1:5" x14ac:dyDescent="0.2">
      <c r="A2" s="3" t="s">
        <v>18</v>
      </c>
      <c r="B2" s="5" t="s">
        <v>19</v>
      </c>
      <c r="C2" s="4" t="s">
        <v>8</v>
      </c>
      <c r="D2" s="4" t="s">
        <v>8</v>
      </c>
      <c r="E2" s="4" t="s">
        <v>17</v>
      </c>
    </row>
    <row r="3" spans="1:5" x14ac:dyDescent="0.2">
      <c r="A3" s="2" t="s">
        <v>0</v>
      </c>
      <c r="B3" s="2">
        <v>1</v>
      </c>
      <c r="C3">
        <v>55112</v>
      </c>
      <c r="D3">
        <v>154757</v>
      </c>
      <c r="E3">
        <f>C3/D3</f>
        <v>0.35611959394405424</v>
      </c>
    </row>
    <row r="4" spans="1:5" x14ac:dyDescent="0.2">
      <c r="A4" s="2" t="s">
        <v>0</v>
      </c>
      <c r="B4" s="2">
        <v>2</v>
      </c>
      <c r="C4">
        <v>46399</v>
      </c>
      <c r="D4">
        <v>180905</v>
      </c>
      <c r="E4">
        <f t="shared" ref="E4:E16" si="0">C4/D4</f>
        <v>0.25648268428180537</v>
      </c>
    </row>
    <row r="5" spans="1:5" x14ac:dyDescent="0.2">
      <c r="A5" s="2" t="s">
        <v>0</v>
      </c>
      <c r="B5" s="2">
        <v>3</v>
      </c>
      <c r="C5">
        <v>51989</v>
      </c>
      <c r="D5">
        <v>217546</v>
      </c>
      <c r="E5">
        <f t="shared" si="0"/>
        <v>0.2389793423000193</v>
      </c>
    </row>
    <row r="6" spans="1:5" x14ac:dyDescent="0.2">
      <c r="A6" s="2" t="s">
        <v>1</v>
      </c>
      <c r="B6" s="2">
        <v>1</v>
      </c>
      <c r="C6">
        <v>124399</v>
      </c>
      <c r="D6">
        <v>195729</v>
      </c>
      <c r="E6">
        <f t="shared" si="0"/>
        <v>0.63556754492180512</v>
      </c>
    </row>
    <row r="7" spans="1:5" x14ac:dyDescent="0.2">
      <c r="A7" s="2" t="s">
        <v>1</v>
      </c>
      <c r="B7" s="2">
        <v>2</v>
      </c>
      <c r="C7">
        <v>127526</v>
      </c>
      <c r="D7">
        <v>173112</v>
      </c>
      <c r="E7">
        <f t="shared" si="0"/>
        <v>0.73666759092379497</v>
      </c>
    </row>
    <row r="8" spans="1:5" x14ac:dyDescent="0.2">
      <c r="A8" s="2" t="s">
        <v>1</v>
      </c>
      <c r="B8" s="2">
        <v>3</v>
      </c>
      <c r="C8">
        <v>154603</v>
      </c>
      <c r="D8">
        <v>177315</v>
      </c>
      <c r="E8">
        <f t="shared" si="0"/>
        <v>0.87191156980514906</v>
      </c>
    </row>
    <row r="9" spans="1:5" x14ac:dyDescent="0.2">
      <c r="A9" s="2" t="s">
        <v>1</v>
      </c>
      <c r="B9" s="2">
        <v>4</v>
      </c>
      <c r="C9">
        <v>198226</v>
      </c>
      <c r="D9">
        <v>156099</v>
      </c>
      <c r="E9">
        <f t="shared" si="0"/>
        <v>1.269873605852696</v>
      </c>
    </row>
    <row r="10" spans="1:5" x14ac:dyDescent="0.2">
      <c r="A10" s="2" t="s">
        <v>1</v>
      </c>
      <c r="B10" s="2">
        <v>5</v>
      </c>
      <c r="C10">
        <v>144204</v>
      </c>
      <c r="D10">
        <v>164599</v>
      </c>
      <c r="E10">
        <f t="shared" si="0"/>
        <v>0.87609280736821005</v>
      </c>
    </row>
    <row r="11" spans="1:5" x14ac:dyDescent="0.2">
      <c r="A11" s="2" t="s">
        <v>3</v>
      </c>
      <c r="B11" s="2">
        <v>1</v>
      </c>
      <c r="C11">
        <v>153562</v>
      </c>
      <c r="D11">
        <v>121883</v>
      </c>
      <c r="E11">
        <f t="shared" si="0"/>
        <v>1.2599131954415299</v>
      </c>
    </row>
    <row r="12" spans="1:5" x14ac:dyDescent="0.2">
      <c r="A12" s="2" t="s">
        <v>3</v>
      </c>
      <c r="B12" s="2">
        <v>2</v>
      </c>
      <c r="C12">
        <v>147536</v>
      </c>
      <c r="D12">
        <v>141142</v>
      </c>
      <c r="E12">
        <f t="shared" si="0"/>
        <v>1.0453018945459183</v>
      </c>
    </row>
    <row r="13" spans="1:5" x14ac:dyDescent="0.2">
      <c r="A13" s="2" t="s">
        <v>3</v>
      </c>
      <c r="B13" s="2">
        <v>3</v>
      </c>
      <c r="C13">
        <v>164139</v>
      </c>
      <c r="D13">
        <v>160678</v>
      </c>
      <c r="E13">
        <f t="shared" si="0"/>
        <v>1.0215399743586553</v>
      </c>
    </row>
    <row r="14" spans="1:5" x14ac:dyDescent="0.2">
      <c r="A14" s="2" t="s">
        <v>3</v>
      </c>
      <c r="B14" s="2">
        <v>4</v>
      </c>
      <c r="C14">
        <v>192917</v>
      </c>
      <c r="D14">
        <v>225237</v>
      </c>
      <c r="E14">
        <f t="shared" si="0"/>
        <v>0.85650670182962829</v>
      </c>
    </row>
    <row r="15" spans="1:5" x14ac:dyDescent="0.2">
      <c r="A15" s="2" t="s">
        <v>3</v>
      </c>
      <c r="B15" s="2">
        <v>5</v>
      </c>
      <c r="C15">
        <v>149964</v>
      </c>
      <c r="D15">
        <v>120235</v>
      </c>
      <c r="E15">
        <f t="shared" si="0"/>
        <v>1.2472574541522852</v>
      </c>
    </row>
    <row r="16" spans="1:5" x14ac:dyDescent="0.2">
      <c r="A16" s="2" t="s">
        <v>3</v>
      </c>
      <c r="B16" s="2">
        <v>6</v>
      </c>
      <c r="C16">
        <v>143749</v>
      </c>
      <c r="D16">
        <v>80160</v>
      </c>
      <c r="E16">
        <f t="shared" si="0"/>
        <v>1.7932759481037923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D94A-E26B-4140-A629-FCF177F4E576}">
  <dimension ref="A1:J16"/>
  <sheetViews>
    <sheetView workbookViewId="0">
      <selection sqref="A1:J16"/>
    </sheetView>
  </sheetViews>
  <sheetFormatPr baseColWidth="10" defaultRowHeight="16" x14ac:dyDescent="0.2"/>
  <sheetData>
    <row r="1" spans="1:10" x14ac:dyDescent="0.2">
      <c r="A1" s="3"/>
      <c r="B1" s="3"/>
      <c r="C1" s="4" t="s">
        <v>7</v>
      </c>
      <c r="D1" s="4"/>
      <c r="F1" s="4"/>
      <c r="G1" s="4" t="s">
        <v>15</v>
      </c>
      <c r="H1" s="4"/>
      <c r="I1" s="4"/>
      <c r="J1" s="4" t="s">
        <v>20</v>
      </c>
    </row>
    <row r="2" spans="1:10" x14ac:dyDescent="0.2">
      <c r="A2" s="3" t="s">
        <v>18</v>
      </c>
      <c r="B2" s="5" t="s">
        <v>19</v>
      </c>
      <c r="C2" s="4" t="s">
        <v>8</v>
      </c>
      <c r="D2" s="4" t="s">
        <v>9</v>
      </c>
      <c r="E2" s="4" t="s">
        <v>14</v>
      </c>
      <c r="F2" s="4"/>
      <c r="G2" s="4" t="s">
        <v>8</v>
      </c>
      <c r="H2" s="4" t="s">
        <v>9</v>
      </c>
      <c r="I2" s="4" t="s">
        <v>16</v>
      </c>
      <c r="J2" s="4" t="s">
        <v>17</v>
      </c>
    </row>
    <row r="3" spans="1:10" x14ac:dyDescent="0.2">
      <c r="A3" s="2" t="s">
        <v>0</v>
      </c>
      <c r="B3">
        <v>1</v>
      </c>
      <c r="C3">
        <v>52858</v>
      </c>
      <c r="D3">
        <v>1800</v>
      </c>
      <c r="E3">
        <f>C3/D3</f>
        <v>29.365555555555556</v>
      </c>
      <c r="G3">
        <v>153789</v>
      </c>
      <c r="H3">
        <v>1200</v>
      </c>
      <c r="I3">
        <f>G3/H3</f>
        <v>128.1575</v>
      </c>
      <c r="J3">
        <f>E3/I3</f>
        <v>0.22913645752730474</v>
      </c>
    </row>
    <row r="4" spans="1:10" x14ac:dyDescent="0.2">
      <c r="A4" s="2" t="s">
        <v>0</v>
      </c>
      <c r="B4">
        <v>2</v>
      </c>
      <c r="C4">
        <v>50784</v>
      </c>
      <c r="D4">
        <v>1800</v>
      </c>
      <c r="E4">
        <f t="shared" ref="E4:E16" si="0">C4/D4</f>
        <v>28.213333333333335</v>
      </c>
      <c r="G4">
        <v>183120</v>
      </c>
      <c r="H4">
        <v>1200</v>
      </c>
      <c r="I4">
        <f t="shared" ref="I4:I16" si="1">G4/H4</f>
        <v>152.6</v>
      </c>
      <c r="J4">
        <f>E4/I4</f>
        <v>0.18488422892092618</v>
      </c>
    </row>
    <row r="5" spans="1:10" x14ac:dyDescent="0.2">
      <c r="A5" s="2" t="s">
        <v>0</v>
      </c>
      <c r="B5">
        <v>4</v>
      </c>
      <c r="C5">
        <v>62426</v>
      </c>
      <c r="D5">
        <v>1800</v>
      </c>
      <c r="E5">
        <f t="shared" si="0"/>
        <v>34.681111111111115</v>
      </c>
      <c r="G5">
        <v>195077</v>
      </c>
      <c r="H5">
        <v>1200</v>
      </c>
      <c r="I5">
        <f t="shared" si="1"/>
        <v>162.56416666666667</v>
      </c>
      <c r="J5">
        <f>E5/I5</f>
        <v>0.21333798107072252</v>
      </c>
    </row>
    <row r="6" spans="1:10" x14ac:dyDescent="0.2">
      <c r="A6" s="2" t="s">
        <v>1</v>
      </c>
      <c r="B6">
        <v>1</v>
      </c>
      <c r="C6">
        <v>211818</v>
      </c>
      <c r="D6">
        <v>1800</v>
      </c>
      <c r="E6">
        <f t="shared" si="0"/>
        <v>117.67666666666666</v>
      </c>
      <c r="G6">
        <v>181801</v>
      </c>
      <c r="H6">
        <v>1200</v>
      </c>
      <c r="I6">
        <f t="shared" si="1"/>
        <v>151.50083333333333</v>
      </c>
      <c r="J6">
        <f>E6/I6</f>
        <v>0.77673940187347701</v>
      </c>
    </row>
    <row r="7" spans="1:10" x14ac:dyDescent="0.2">
      <c r="A7" s="2" t="s">
        <v>1</v>
      </c>
      <c r="B7">
        <v>2</v>
      </c>
      <c r="C7">
        <v>258340</v>
      </c>
      <c r="D7">
        <v>1800</v>
      </c>
      <c r="E7">
        <f t="shared" si="0"/>
        <v>143.52222222222221</v>
      </c>
      <c r="G7">
        <v>169471</v>
      </c>
      <c r="H7">
        <v>1200</v>
      </c>
      <c r="I7">
        <f t="shared" si="1"/>
        <v>141.22583333333333</v>
      </c>
      <c r="J7">
        <f>E7/I7</f>
        <v>1.0162604024680721</v>
      </c>
    </row>
    <row r="8" spans="1:10" x14ac:dyDescent="0.2">
      <c r="A8" s="2" t="s">
        <v>1</v>
      </c>
      <c r="B8">
        <v>3</v>
      </c>
      <c r="C8">
        <v>201743</v>
      </c>
      <c r="D8">
        <v>1800</v>
      </c>
      <c r="E8">
        <f t="shared" si="0"/>
        <v>112.07944444444445</v>
      </c>
      <c r="G8">
        <v>200798</v>
      </c>
      <c r="H8">
        <v>1200</v>
      </c>
      <c r="I8">
        <f t="shared" si="1"/>
        <v>167.33166666666668</v>
      </c>
      <c r="J8">
        <f>E8/I8</f>
        <v>0.66980414811568501</v>
      </c>
    </row>
    <row r="9" spans="1:10" x14ac:dyDescent="0.2">
      <c r="A9" s="2" t="s">
        <v>1</v>
      </c>
      <c r="B9">
        <v>4</v>
      </c>
      <c r="C9">
        <v>204618</v>
      </c>
      <c r="D9">
        <v>1800</v>
      </c>
      <c r="E9">
        <f t="shared" si="0"/>
        <v>113.67666666666666</v>
      </c>
      <c r="G9">
        <v>173741</v>
      </c>
      <c r="H9">
        <v>1200</v>
      </c>
      <c r="I9">
        <f t="shared" si="1"/>
        <v>144.78416666666666</v>
      </c>
      <c r="J9">
        <f>E9/I9</f>
        <v>0.78514570538905615</v>
      </c>
    </row>
    <row r="10" spans="1:10" x14ac:dyDescent="0.2">
      <c r="A10" s="2" t="s">
        <v>1</v>
      </c>
      <c r="B10">
        <v>5</v>
      </c>
      <c r="C10">
        <v>280891</v>
      </c>
      <c r="D10">
        <v>1800</v>
      </c>
      <c r="E10">
        <f t="shared" si="0"/>
        <v>156.05055555555555</v>
      </c>
      <c r="G10">
        <v>182400</v>
      </c>
      <c r="H10">
        <v>1200</v>
      </c>
      <c r="I10">
        <f t="shared" si="1"/>
        <v>152</v>
      </c>
      <c r="J10">
        <f>E10/I10</f>
        <v>1.0266483918128655</v>
      </c>
    </row>
    <row r="11" spans="1:10" x14ac:dyDescent="0.2">
      <c r="A11" s="2" t="s">
        <v>3</v>
      </c>
      <c r="B11">
        <v>1</v>
      </c>
      <c r="C11">
        <v>253638</v>
      </c>
      <c r="D11">
        <v>1800</v>
      </c>
      <c r="E11">
        <f t="shared" si="0"/>
        <v>140.91</v>
      </c>
      <c r="G11">
        <v>167013</v>
      </c>
      <c r="H11">
        <v>1200</v>
      </c>
      <c r="I11">
        <f t="shared" si="1"/>
        <v>139.17750000000001</v>
      </c>
      <c r="J11">
        <f>E11/I11</f>
        <v>1.0124481327800829</v>
      </c>
    </row>
    <row r="12" spans="1:10" x14ac:dyDescent="0.2">
      <c r="A12" s="2" t="s">
        <v>3</v>
      </c>
      <c r="B12">
        <v>2</v>
      </c>
      <c r="C12">
        <v>252665</v>
      </c>
      <c r="D12">
        <v>1800</v>
      </c>
      <c r="E12">
        <f t="shared" si="0"/>
        <v>140.36944444444444</v>
      </c>
      <c r="G12">
        <v>164708</v>
      </c>
      <c r="H12">
        <v>1200</v>
      </c>
      <c r="I12">
        <f t="shared" si="1"/>
        <v>137.25666666666666</v>
      </c>
      <c r="J12">
        <f>E12/I12</f>
        <v>1.0226785179428646</v>
      </c>
    </row>
    <row r="13" spans="1:10" x14ac:dyDescent="0.2">
      <c r="A13" s="2" t="s">
        <v>3</v>
      </c>
      <c r="B13">
        <v>3</v>
      </c>
      <c r="C13">
        <v>192634</v>
      </c>
      <c r="D13">
        <v>1800</v>
      </c>
      <c r="E13">
        <f t="shared" si="0"/>
        <v>107.0188888888889</v>
      </c>
      <c r="G13">
        <v>183318</v>
      </c>
      <c r="H13">
        <v>1200</v>
      </c>
      <c r="I13">
        <f t="shared" si="1"/>
        <v>152.76499999999999</v>
      </c>
      <c r="J13">
        <f>E13/I13</f>
        <v>0.70054586383588457</v>
      </c>
    </row>
    <row r="14" spans="1:10" x14ac:dyDescent="0.2">
      <c r="A14" s="2" t="s">
        <v>3</v>
      </c>
      <c r="B14">
        <v>4</v>
      </c>
      <c r="C14">
        <v>189122</v>
      </c>
      <c r="D14">
        <v>1800</v>
      </c>
      <c r="E14">
        <f t="shared" si="0"/>
        <v>105.06777777777778</v>
      </c>
      <c r="G14">
        <v>176599</v>
      </c>
      <c r="H14">
        <v>1200</v>
      </c>
      <c r="I14">
        <f t="shared" si="1"/>
        <v>147.16583333333332</v>
      </c>
      <c r="J14">
        <f>E14/I14</f>
        <v>0.71394137754649423</v>
      </c>
    </row>
    <row r="15" spans="1:10" x14ac:dyDescent="0.2">
      <c r="A15" s="2" t="s">
        <v>3</v>
      </c>
      <c r="B15">
        <v>5</v>
      </c>
      <c r="C15">
        <v>151274</v>
      </c>
      <c r="D15">
        <v>1800</v>
      </c>
      <c r="E15">
        <f t="shared" si="0"/>
        <v>84.041111111111107</v>
      </c>
      <c r="G15">
        <v>155409</v>
      </c>
      <c r="H15">
        <v>1200</v>
      </c>
      <c r="I15">
        <f t="shared" si="1"/>
        <v>129.50749999999999</v>
      </c>
      <c r="J15">
        <f>E15/I15</f>
        <v>0.6489285262329294</v>
      </c>
    </row>
    <row r="16" spans="1:10" x14ac:dyDescent="0.2">
      <c r="A16" s="2" t="s">
        <v>3</v>
      </c>
      <c r="B16">
        <v>6</v>
      </c>
      <c r="C16">
        <v>173218</v>
      </c>
      <c r="D16">
        <v>2556</v>
      </c>
      <c r="E16">
        <f t="shared" si="0"/>
        <v>67.769170579029733</v>
      </c>
      <c r="G16">
        <v>157424</v>
      </c>
      <c r="H16">
        <v>1200</v>
      </c>
      <c r="I16">
        <f t="shared" si="1"/>
        <v>131.18666666666667</v>
      </c>
      <c r="J16">
        <f>E16/I16</f>
        <v>0.51658581089818378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92A8-7ABA-6B40-8F06-915597971937}">
  <dimension ref="A1:C21"/>
  <sheetViews>
    <sheetView workbookViewId="0">
      <selection sqref="A1:C22"/>
    </sheetView>
  </sheetViews>
  <sheetFormatPr baseColWidth="10" defaultRowHeight="16" x14ac:dyDescent="0.2"/>
  <sheetData>
    <row r="1" spans="1:3" x14ac:dyDescent="0.2">
      <c r="A1" s="3" t="s">
        <v>18</v>
      </c>
      <c r="B1" s="5" t="s">
        <v>19</v>
      </c>
      <c r="C1" s="1" t="s">
        <v>21</v>
      </c>
    </row>
    <row r="2" spans="1:3" x14ac:dyDescent="0.2">
      <c r="A2" s="2" t="s">
        <v>0</v>
      </c>
      <c r="B2">
        <v>1</v>
      </c>
      <c r="C2">
        <v>39855</v>
      </c>
    </row>
    <row r="3" spans="1:3" x14ac:dyDescent="0.2">
      <c r="A3" s="2" t="s">
        <v>0</v>
      </c>
      <c r="B3">
        <v>2</v>
      </c>
      <c r="C3">
        <v>24800</v>
      </c>
    </row>
    <row r="4" spans="1:3" x14ac:dyDescent="0.2">
      <c r="A4" s="2" t="s">
        <v>0</v>
      </c>
      <c r="B4">
        <v>4</v>
      </c>
      <c r="C4">
        <v>77732</v>
      </c>
    </row>
    <row r="5" spans="1:3" x14ac:dyDescent="0.2">
      <c r="A5" s="2" t="s">
        <v>0</v>
      </c>
      <c r="B5">
        <v>5</v>
      </c>
      <c r="C5">
        <v>25229</v>
      </c>
    </row>
    <row r="6" spans="1:3" x14ac:dyDescent="0.2">
      <c r="A6" s="2" t="s">
        <v>0</v>
      </c>
      <c r="B6">
        <v>6</v>
      </c>
      <c r="C6">
        <v>18353</v>
      </c>
    </row>
    <row r="7" spans="1:3" x14ac:dyDescent="0.2">
      <c r="A7" s="2" t="s">
        <v>1</v>
      </c>
      <c r="B7">
        <v>1</v>
      </c>
      <c r="C7">
        <v>271870</v>
      </c>
    </row>
    <row r="8" spans="1:3" x14ac:dyDescent="0.2">
      <c r="A8" s="2" t="s">
        <v>1</v>
      </c>
      <c r="B8">
        <v>2</v>
      </c>
      <c r="C8">
        <v>183798</v>
      </c>
    </row>
    <row r="9" spans="1:3" x14ac:dyDescent="0.2">
      <c r="A9" s="2" t="s">
        <v>1</v>
      </c>
      <c r="B9">
        <v>3</v>
      </c>
      <c r="C9">
        <v>174663</v>
      </c>
    </row>
    <row r="10" spans="1:3" x14ac:dyDescent="0.2">
      <c r="A10" s="2" t="s">
        <v>1</v>
      </c>
      <c r="B10">
        <v>4</v>
      </c>
      <c r="C10">
        <v>285421</v>
      </c>
    </row>
    <row r="11" spans="1:3" x14ac:dyDescent="0.2">
      <c r="A11" s="2" t="s">
        <v>1</v>
      </c>
      <c r="B11">
        <v>5</v>
      </c>
      <c r="C11">
        <v>188474</v>
      </c>
    </row>
    <row r="12" spans="1:3" x14ac:dyDescent="0.2">
      <c r="A12" s="2" t="s">
        <v>1</v>
      </c>
      <c r="B12">
        <v>6</v>
      </c>
      <c r="C12">
        <v>213753</v>
      </c>
    </row>
    <row r="13" spans="1:3" x14ac:dyDescent="0.2">
      <c r="A13" s="2" t="s">
        <v>1</v>
      </c>
      <c r="B13">
        <v>7</v>
      </c>
      <c r="C13">
        <v>197365</v>
      </c>
    </row>
    <row r="14" spans="1:3" x14ac:dyDescent="0.2">
      <c r="A14" s="2" t="s">
        <v>3</v>
      </c>
      <c r="B14">
        <v>1</v>
      </c>
      <c r="C14">
        <v>321520</v>
      </c>
    </row>
    <row r="15" spans="1:3" x14ac:dyDescent="0.2">
      <c r="A15" s="2" t="s">
        <v>3</v>
      </c>
      <c r="B15">
        <v>2</v>
      </c>
      <c r="C15">
        <v>165479</v>
      </c>
    </row>
    <row r="16" spans="1:3" x14ac:dyDescent="0.2">
      <c r="A16" s="2" t="s">
        <v>3</v>
      </c>
      <c r="B16">
        <v>3</v>
      </c>
      <c r="C16">
        <v>78035</v>
      </c>
    </row>
    <row r="17" spans="1:3" x14ac:dyDescent="0.2">
      <c r="A17" s="2" t="s">
        <v>3</v>
      </c>
      <c r="B17">
        <v>4</v>
      </c>
      <c r="C17">
        <v>105036</v>
      </c>
    </row>
    <row r="18" spans="1:3" x14ac:dyDescent="0.2">
      <c r="A18" s="2" t="s">
        <v>3</v>
      </c>
      <c r="B18">
        <v>5</v>
      </c>
      <c r="C18">
        <v>144808</v>
      </c>
    </row>
    <row r="19" spans="1:3" x14ac:dyDescent="0.2">
      <c r="A19" s="2" t="s">
        <v>3</v>
      </c>
      <c r="B19">
        <v>6</v>
      </c>
      <c r="C19">
        <v>120421</v>
      </c>
    </row>
    <row r="20" spans="1:3" x14ac:dyDescent="0.2">
      <c r="A20" s="2" t="s">
        <v>3</v>
      </c>
      <c r="B20">
        <v>7</v>
      </c>
      <c r="C20">
        <v>177428</v>
      </c>
    </row>
    <row r="21" spans="1:3" x14ac:dyDescent="0.2">
      <c r="A21" s="2" t="s">
        <v>3</v>
      </c>
      <c r="B21">
        <v>8</v>
      </c>
      <c r="C21">
        <v>161723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1653-E1BE-1743-86D2-D01176A6ADF3}">
  <dimension ref="A1:C34"/>
  <sheetViews>
    <sheetView workbookViewId="0">
      <selection sqref="A1:C22"/>
    </sheetView>
  </sheetViews>
  <sheetFormatPr baseColWidth="10" defaultRowHeight="16" x14ac:dyDescent="0.2"/>
  <sheetData>
    <row r="1" spans="1:3" x14ac:dyDescent="0.2">
      <c r="A1" s="3" t="s">
        <v>18</v>
      </c>
      <c r="B1" s="5" t="s">
        <v>19</v>
      </c>
      <c r="C1" s="1" t="s">
        <v>21</v>
      </c>
    </row>
    <row r="2" spans="1:3" x14ac:dyDescent="0.2">
      <c r="A2" s="2" t="s">
        <v>0</v>
      </c>
      <c r="B2">
        <v>1</v>
      </c>
      <c r="C2">
        <v>80263</v>
      </c>
    </row>
    <row r="3" spans="1:3" x14ac:dyDescent="0.2">
      <c r="A3" s="2" t="s">
        <v>0</v>
      </c>
      <c r="B3">
        <v>2</v>
      </c>
      <c r="C3">
        <v>48962</v>
      </c>
    </row>
    <row r="4" spans="1:3" x14ac:dyDescent="0.2">
      <c r="A4" s="2" t="s">
        <v>0</v>
      </c>
      <c r="B4">
        <v>3</v>
      </c>
      <c r="C4">
        <v>59564</v>
      </c>
    </row>
    <row r="5" spans="1:3" x14ac:dyDescent="0.2">
      <c r="A5" s="2" t="s">
        <v>0</v>
      </c>
      <c r="B5">
        <v>4</v>
      </c>
      <c r="C5">
        <v>86204</v>
      </c>
    </row>
    <row r="6" spans="1:3" x14ac:dyDescent="0.2">
      <c r="A6" s="2" t="s">
        <v>0</v>
      </c>
      <c r="B6">
        <v>5</v>
      </c>
      <c r="C6">
        <v>95140</v>
      </c>
    </row>
    <row r="7" spans="1:3" x14ac:dyDescent="0.2">
      <c r="A7" s="2" t="s">
        <v>0</v>
      </c>
      <c r="B7">
        <v>6</v>
      </c>
      <c r="C7">
        <v>89031</v>
      </c>
    </row>
    <row r="8" spans="1:3" x14ac:dyDescent="0.2">
      <c r="A8" s="2" t="s">
        <v>1</v>
      </c>
      <c r="B8">
        <v>1</v>
      </c>
      <c r="C8">
        <v>390268</v>
      </c>
    </row>
    <row r="9" spans="1:3" x14ac:dyDescent="0.2">
      <c r="A9" s="2" t="s">
        <v>1</v>
      </c>
      <c r="B9">
        <v>2</v>
      </c>
      <c r="C9">
        <v>235898</v>
      </c>
    </row>
    <row r="10" spans="1:3" x14ac:dyDescent="0.2">
      <c r="A10" s="2" t="s">
        <v>1</v>
      </c>
      <c r="B10">
        <v>3</v>
      </c>
      <c r="C10">
        <v>205591</v>
      </c>
    </row>
    <row r="11" spans="1:3" x14ac:dyDescent="0.2">
      <c r="A11" s="2" t="s">
        <v>1</v>
      </c>
      <c r="B11">
        <v>4</v>
      </c>
      <c r="C11">
        <v>210799</v>
      </c>
    </row>
    <row r="12" spans="1:3" x14ac:dyDescent="0.2">
      <c r="A12" s="2" t="s">
        <v>1</v>
      </c>
      <c r="B12">
        <v>5</v>
      </c>
      <c r="C12">
        <v>281093</v>
      </c>
    </row>
    <row r="13" spans="1:3" x14ac:dyDescent="0.2">
      <c r="A13" s="2" t="s">
        <v>1</v>
      </c>
      <c r="B13">
        <v>6</v>
      </c>
      <c r="C13">
        <v>345607</v>
      </c>
    </row>
    <row r="14" spans="1:3" x14ac:dyDescent="0.2">
      <c r="A14" s="2" t="s">
        <v>1</v>
      </c>
      <c r="B14">
        <v>7</v>
      </c>
      <c r="C14">
        <v>353579</v>
      </c>
    </row>
    <row r="15" spans="1:3" x14ac:dyDescent="0.2">
      <c r="A15" s="2" t="s">
        <v>1</v>
      </c>
      <c r="B15">
        <v>8</v>
      </c>
      <c r="C15">
        <v>406146</v>
      </c>
    </row>
    <row r="16" spans="1:3" x14ac:dyDescent="0.2">
      <c r="A16" s="2" t="s">
        <v>3</v>
      </c>
      <c r="B16">
        <v>1</v>
      </c>
      <c r="C16">
        <v>245427</v>
      </c>
    </row>
    <row r="17" spans="1:3" x14ac:dyDescent="0.2">
      <c r="A17" s="2" t="s">
        <v>3</v>
      </c>
      <c r="B17">
        <v>2</v>
      </c>
      <c r="C17">
        <v>165835</v>
      </c>
    </row>
    <row r="18" spans="1:3" x14ac:dyDescent="0.2">
      <c r="A18" s="2" t="s">
        <v>3</v>
      </c>
      <c r="B18">
        <v>3</v>
      </c>
      <c r="C18">
        <v>271150</v>
      </c>
    </row>
    <row r="19" spans="1:3" x14ac:dyDescent="0.2">
      <c r="A19" s="2" t="s">
        <v>3</v>
      </c>
      <c r="B19">
        <v>4</v>
      </c>
      <c r="C19">
        <v>234522</v>
      </c>
    </row>
    <row r="20" spans="1:3" x14ac:dyDescent="0.2">
      <c r="A20" s="2" t="s">
        <v>3</v>
      </c>
      <c r="B20">
        <v>5</v>
      </c>
      <c r="C20">
        <v>206834</v>
      </c>
    </row>
    <row r="21" spans="1:3" x14ac:dyDescent="0.2">
      <c r="A21" s="2" t="s">
        <v>3</v>
      </c>
      <c r="B21">
        <v>6</v>
      </c>
      <c r="C21">
        <v>228889</v>
      </c>
    </row>
    <row r="22" spans="1:3" x14ac:dyDescent="0.2">
      <c r="A22" s="2" t="s">
        <v>3</v>
      </c>
      <c r="B22">
        <v>7</v>
      </c>
      <c r="C22">
        <v>275793</v>
      </c>
    </row>
    <row r="34" spans="1:1" x14ac:dyDescent="0.2">
      <c r="A3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7DDE-EF7D-1943-BCF1-C1FDA6ABC245}">
  <dimension ref="A1:C22"/>
  <sheetViews>
    <sheetView workbookViewId="0">
      <selection sqref="A1:C23"/>
    </sheetView>
  </sheetViews>
  <sheetFormatPr baseColWidth="10" defaultRowHeight="16" x14ac:dyDescent="0.2"/>
  <sheetData>
    <row r="1" spans="1:3" x14ac:dyDescent="0.2">
      <c r="A1" s="3" t="s">
        <v>18</v>
      </c>
      <c r="B1" s="5" t="s">
        <v>19</v>
      </c>
      <c r="C1" s="1" t="s">
        <v>21</v>
      </c>
    </row>
    <row r="2" spans="1:3" x14ac:dyDescent="0.2">
      <c r="A2" s="2" t="s">
        <v>0</v>
      </c>
      <c r="B2">
        <v>1</v>
      </c>
      <c r="C2">
        <v>126236</v>
      </c>
    </row>
    <row r="3" spans="1:3" x14ac:dyDescent="0.2">
      <c r="A3" s="2" t="s">
        <v>0</v>
      </c>
      <c r="B3">
        <v>2</v>
      </c>
      <c r="C3">
        <v>66161</v>
      </c>
    </row>
    <row r="4" spans="1:3" x14ac:dyDescent="0.2">
      <c r="A4" s="2" t="s">
        <v>0</v>
      </c>
      <c r="B4">
        <v>3</v>
      </c>
      <c r="C4">
        <v>73215</v>
      </c>
    </row>
    <row r="5" spans="1:3" x14ac:dyDescent="0.2">
      <c r="A5" s="2" t="s">
        <v>0</v>
      </c>
      <c r="B5">
        <v>4</v>
      </c>
      <c r="C5">
        <v>70247</v>
      </c>
    </row>
    <row r="6" spans="1:3" x14ac:dyDescent="0.2">
      <c r="A6" s="2" t="s">
        <v>0</v>
      </c>
      <c r="B6">
        <v>5</v>
      </c>
      <c r="C6">
        <v>51638</v>
      </c>
    </row>
    <row r="7" spans="1:3" x14ac:dyDescent="0.2">
      <c r="A7" s="2" t="s">
        <v>1</v>
      </c>
      <c r="B7">
        <v>1</v>
      </c>
      <c r="C7">
        <v>220791</v>
      </c>
    </row>
    <row r="8" spans="1:3" x14ac:dyDescent="0.2">
      <c r="A8" s="2" t="s">
        <v>1</v>
      </c>
      <c r="B8">
        <v>2</v>
      </c>
      <c r="C8">
        <v>194430</v>
      </c>
    </row>
    <row r="9" spans="1:3" x14ac:dyDescent="0.2">
      <c r="A9" s="2" t="s">
        <v>1</v>
      </c>
      <c r="B9">
        <v>3</v>
      </c>
      <c r="C9">
        <v>129536</v>
      </c>
    </row>
    <row r="10" spans="1:3" x14ac:dyDescent="0.2">
      <c r="A10" s="2" t="s">
        <v>1</v>
      </c>
      <c r="B10">
        <v>4</v>
      </c>
      <c r="C10">
        <v>129434</v>
      </c>
    </row>
    <row r="11" spans="1:3" x14ac:dyDescent="0.2">
      <c r="A11" s="2" t="s">
        <v>1</v>
      </c>
      <c r="B11">
        <v>5</v>
      </c>
      <c r="C11">
        <v>156887</v>
      </c>
    </row>
    <row r="12" spans="1:3" x14ac:dyDescent="0.2">
      <c r="A12" s="2" t="s">
        <v>1</v>
      </c>
      <c r="B12">
        <v>6</v>
      </c>
      <c r="C12">
        <v>283729</v>
      </c>
    </row>
    <row r="13" spans="1:3" x14ac:dyDescent="0.2">
      <c r="A13" s="2" t="s">
        <v>1</v>
      </c>
      <c r="B13">
        <v>7</v>
      </c>
      <c r="C13">
        <v>263481</v>
      </c>
    </row>
    <row r="14" spans="1:3" x14ac:dyDescent="0.2">
      <c r="A14" s="2" t="s">
        <v>1</v>
      </c>
      <c r="B14">
        <v>8</v>
      </c>
      <c r="C14">
        <v>150314</v>
      </c>
    </row>
    <row r="15" spans="1:3" x14ac:dyDescent="0.2">
      <c r="A15" s="2" t="s">
        <v>3</v>
      </c>
      <c r="B15">
        <v>1</v>
      </c>
      <c r="C15">
        <v>200211</v>
      </c>
    </row>
    <row r="16" spans="1:3" x14ac:dyDescent="0.2">
      <c r="A16" s="2" t="s">
        <v>3</v>
      </c>
      <c r="B16">
        <v>2</v>
      </c>
      <c r="C16">
        <v>183885</v>
      </c>
    </row>
    <row r="17" spans="1:3" x14ac:dyDescent="0.2">
      <c r="A17" s="2" t="s">
        <v>3</v>
      </c>
      <c r="B17">
        <v>3</v>
      </c>
      <c r="C17">
        <v>167254</v>
      </c>
    </row>
    <row r="18" spans="1:3" x14ac:dyDescent="0.2">
      <c r="A18" s="2" t="s">
        <v>3</v>
      </c>
      <c r="B18">
        <v>4</v>
      </c>
      <c r="C18">
        <v>185628</v>
      </c>
    </row>
    <row r="19" spans="1:3" x14ac:dyDescent="0.2">
      <c r="A19" s="2" t="s">
        <v>3</v>
      </c>
      <c r="B19">
        <v>5</v>
      </c>
      <c r="C19">
        <v>211332</v>
      </c>
    </row>
    <row r="20" spans="1:3" x14ac:dyDescent="0.2">
      <c r="A20" s="2" t="s">
        <v>3</v>
      </c>
      <c r="B20">
        <v>6</v>
      </c>
      <c r="C20">
        <v>244733</v>
      </c>
    </row>
    <row r="21" spans="1:3" x14ac:dyDescent="0.2">
      <c r="A21" s="2" t="s">
        <v>3</v>
      </c>
      <c r="B21">
        <v>7</v>
      </c>
      <c r="C21">
        <v>203579</v>
      </c>
    </row>
    <row r="22" spans="1:3" x14ac:dyDescent="0.2">
      <c r="A22" s="2" t="s">
        <v>3</v>
      </c>
      <c r="B22">
        <v>8</v>
      </c>
      <c r="C22">
        <v>173987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5BBE-EA60-3647-A6C8-B1C8275F031C}">
  <dimension ref="A1:C35"/>
  <sheetViews>
    <sheetView workbookViewId="0">
      <selection sqref="A1:C22"/>
    </sheetView>
  </sheetViews>
  <sheetFormatPr baseColWidth="10" defaultRowHeight="16" x14ac:dyDescent="0.2"/>
  <sheetData>
    <row r="1" spans="1:3" x14ac:dyDescent="0.2">
      <c r="A1" s="3" t="s">
        <v>18</v>
      </c>
      <c r="B1" s="5" t="s">
        <v>19</v>
      </c>
      <c r="C1" s="1" t="s">
        <v>21</v>
      </c>
    </row>
    <row r="2" spans="1:3" x14ac:dyDescent="0.2">
      <c r="A2" s="2" t="s">
        <v>0</v>
      </c>
      <c r="B2">
        <v>1</v>
      </c>
      <c r="C2">
        <v>52801</v>
      </c>
    </row>
    <row r="3" spans="1:3" x14ac:dyDescent="0.2">
      <c r="A3" s="2" t="s">
        <v>0</v>
      </c>
      <c r="B3">
        <v>2</v>
      </c>
      <c r="C3">
        <v>48205</v>
      </c>
    </row>
    <row r="4" spans="1:3" x14ac:dyDescent="0.2">
      <c r="A4" s="2" t="s">
        <v>0</v>
      </c>
      <c r="B4">
        <v>3</v>
      </c>
      <c r="C4">
        <v>51371</v>
      </c>
    </row>
    <row r="5" spans="1:3" x14ac:dyDescent="0.2">
      <c r="A5" s="2" t="s">
        <v>0</v>
      </c>
      <c r="B5">
        <v>4</v>
      </c>
      <c r="C5">
        <v>46949</v>
      </c>
    </row>
    <row r="6" spans="1:3" x14ac:dyDescent="0.2">
      <c r="A6" s="2" t="s">
        <v>0</v>
      </c>
      <c r="B6">
        <v>5</v>
      </c>
      <c r="C6">
        <v>38047</v>
      </c>
    </row>
    <row r="7" spans="1:3" x14ac:dyDescent="0.2">
      <c r="A7" s="2" t="s">
        <v>0</v>
      </c>
      <c r="B7">
        <v>6</v>
      </c>
      <c r="C7">
        <v>35707</v>
      </c>
    </row>
    <row r="8" spans="1:3" x14ac:dyDescent="0.2">
      <c r="A8" s="2" t="s">
        <v>1</v>
      </c>
      <c r="B8">
        <v>1</v>
      </c>
      <c r="C8">
        <v>320687</v>
      </c>
    </row>
    <row r="9" spans="1:3" x14ac:dyDescent="0.2">
      <c r="A9" s="2" t="s">
        <v>1</v>
      </c>
      <c r="B9">
        <v>2</v>
      </c>
      <c r="C9">
        <v>225119</v>
      </c>
    </row>
    <row r="10" spans="1:3" x14ac:dyDescent="0.2">
      <c r="A10" s="2" t="s">
        <v>1</v>
      </c>
      <c r="B10">
        <v>3</v>
      </c>
      <c r="C10">
        <v>210405</v>
      </c>
    </row>
    <row r="11" spans="1:3" x14ac:dyDescent="0.2">
      <c r="A11" s="2" t="s">
        <v>1</v>
      </c>
      <c r="B11">
        <v>4</v>
      </c>
      <c r="C11">
        <v>268473</v>
      </c>
    </row>
    <row r="12" spans="1:3" x14ac:dyDescent="0.2">
      <c r="A12" s="2" t="s">
        <v>1</v>
      </c>
      <c r="B12">
        <v>5</v>
      </c>
      <c r="C12">
        <v>208309</v>
      </c>
    </row>
    <row r="13" spans="1:3" x14ac:dyDescent="0.2">
      <c r="A13" s="2" t="s">
        <v>1</v>
      </c>
      <c r="B13">
        <v>6</v>
      </c>
      <c r="C13">
        <v>256928</v>
      </c>
    </row>
    <row r="14" spans="1:3" x14ac:dyDescent="0.2">
      <c r="A14" s="2" t="s">
        <v>1</v>
      </c>
      <c r="B14">
        <v>7</v>
      </c>
      <c r="C14">
        <v>289682</v>
      </c>
    </row>
    <row r="15" spans="1:3" x14ac:dyDescent="0.2">
      <c r="A15" s="2" t="s">
        <v>1</v>
      </c>
      <c r="B15">
        <v>8</v>
      </c>
      <c r="C15">
        <v>295024</v>
      </c>
    </row>
    <row r="16" spans="1:3" x14ac:dyDescent="0.2">
      <c r="A16" s="2" t="s">
        <v>3</v>
      </c>
      <c r="B16">
        <v>1</v>
      </c>
      <c r="C16">
        <v>249042</v>
      </c>
    </row>
    <row r="17" spans="1:3" x14ac:dyDescent="0.2">
      <c r="A17" s="2" t="s">
        <v>3</v>
      </c>
      <c r="B17">
        <v>2</v>
      </c>
      <c r="C17">
        <v>203881</v>
      </c>
    </row>
    <row r="18" spans="1:3" x14ac:dyDescent="0.2">
      <c r="A18" s="2" t="s">
        <v>3</v>
      </c>
      <c r="B18">
        <v>3</v>
      </c>
      <c r="C18">
        <v>170681</v>
      </c>
    </row>
    <row r="19" spans="1:3" x14ac:dyDescent="0.2">
      <c r="A19" s="2" t="s">
        <v>3</v>
      </c>
      <c r="B19">
        <v>4</v>
      </c>
      <c r="C19">
        <v>277187</v>
      </c>
    </row>
    <row r="20" spans="1:3" x14ac:dyDescent="0.2">
      <c r="A20" s="2" t="s">
        <v>3</v>
      </c>
      <c r="B20">
        <v>5</v>
      </c>
      <c r="C20">
        <v>256334</v>
      </c>
    </row>
    <row r="21" spans="1:3" x14ac:dyDescent="0.2">
      <c r="A21" s="2" t="s">
        <v>3</v>
      </c>
      <c r="B21">
        <v>6</v>
      </c>
      <c r="C21">
        <v>198545</v>
      </c>
    </row>
    <row r="22" spans="1:3" x14ac:dyDescent="0.2">
      <c r="A22" s="2" t="s">
        <v>3</v>
      </c>
      <c r="B22">
        <v>7</v>
      </c>
      <c r="C22">
        <v>299913</v>
      </c>
    </row>
    <row r="35" spans="1:1" x14ac:dyDescent="0.2">
      <c r="A3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B4F1-DE4D-1048-9124-DEA3186644C1}">
  <dimension ref="A1:J20"/>
  <sheetViews>
    <sheetView workbookViewId="0">
      <selection activeCell="L18" sqref="L18"/>
    </sheetView>
  </sheetViews>
  <sheetFormatPr baseColWidth="10" defaultRowHeight="16" x14ac:dyDescent="0.2"/>
  <sheetData>
    <row r="1" spans="1:10" x14ac:dyDescent="0.2">
      <c r="A1" s="3"/>
      <c r="B1" s="3"/>
      <c r="C1" s="4" t="s">
        <v>7</v>
      </c>
      <c r="D1" s="4"/>
      <c r="E1" s="4" t="s">
        <v>14</v>
      </c>
      <c r="F1" s="4"/>
      <c r="G1" s="4" t="s">
        <v>15</v>
      </c>
      <c r="H1" s="4"/>
      <c r="I1" s="4"/>
      <c r="J1" s="4" t="s">
        <v>20</v>
      </c>
    </row>
    <row r="2" spans="1:10" x14ac:dyDescent="0.2">
      <c r="A2" s="3" t="s">
        <v>18</v>
      </c>
      <c r="B2" s="5" t="s">
        <v>19</v>
      </c>
      <c r="C2" s="4" t="s">
        <v>8</v>
      </c>
      <c r="D2" s="4" t="s">
        <v>9</v>
      </c>
      <c r="E2" s="4" t="s">
        <v>10</v>
      </c>
      <c r="F2" s="4"/>
      <c r="G2" s="4" t="s">
        <v>8</v>
      </c>
      <c r="H2" s="4" t="s">
        <v>9</v>
      </c>
      <c r="I2" s="4" t="s">
        <v>16</v>
      </c>
      <c r="J2" s="4" t="s">
        <v>17</v>
      </c>
    </row>
    <row r="3" spans="1:10" x14ac:dyDescent="0.2">
      <c r="A3" s="2" t="s">
        <v>0</v>
      </c>
      <c r="B3" s="2">
        <v>1</v>
      </c>
      <c r="C3">
        <v>158876</v>
      </c>
      <c r="D3">
        <v>1216</v>
      </c>
      <c r="E3">
        <f>(C3/D3)-E20</f>
        <v>33.857383040935673</v>
      </c>
      <c r="G3">
        <v>36728</v>
      </c>
      <c r="H3">
        <v>795</v>
      </c>
      <c r="I3">
        <f>G3/H3</f>
        <v>46.198742138364778</v>
      </c>
      <c r="J3">
        <f>E3/I3</f>
        <v>0.73286374203724303</v>
      </c>
    </row>
    <row r="4" spans="1:10" x14ac:dyDescent="0.2">
      <c r="A4" s="2" t="s">
        <v>0</v>
      </c>
      <c r="B4" s="2">
        <v>2</v>
      </c>
      <c r="C4">
        <v>146583</v>
      </c>
      <c r="D4">
        <v>1216</v>
      </c>
      <c r="E4">
        <f>(C4/D4)-E20</f>
        <v>23.748008040935673</v>
      </c>
      <c r="G4">
        <v>54880</v>
      </c>
      <c r="H4">
        <v>795</v>
      </c>
      <c r="I4">
        <f>G4/H4</f>
        <v>69.031446540880509</v>
      </c>
      <c r="J4">
        <f>E4/I4</f>
        <v>0.34401724476209655</v>
      </c>
    </row>
    <row r="5" spans="1:10" x14ac:dyDescent="0.2">
      <c r="A5" s="2" t="s">
        <v>0</v>
      </c>
      <c r="B5" s="2">
        <v>3</v>
      </c>
      <c r="C5">
        <v>125012</v>
      </c>
      <c r="D5">
        <v>1216</v>
      </c>
      <c r="E5">
        <f>(C5/D5)-E20</f>
        <v>6.008698830409358</v>
      </c>
      <c r="G5">
        <v>54734</v>
      </c>
      <c r="H5">
        <v>795</v>
      </c>
      <c r="I5">
        <f>G5/H5</f>
        <v>68.847798742138366</v>
      </c>
      <c r="J5">
        <f>E5/I5</f>
        <v>8.727510450863156E-2</v>
      </c>
    </row>
    <row r="6" spans="1:10" x14ac:dyDescent="0.2">
      <c r="A6" s="2" t="s">
        <v>1</v>
      </c>
      <c r="B6" s="2">
        <v>1</v>
      </c>
      <c r="C6">
        <v>186294</v>
      </c>
      <c r="D6">
        <v>1216</v>
      </c>
      <c r="E6">
        <f>(C6/D6)-E19</f>
        <v>32.020821150097476</v>
      </c>
      <c r="G6">
        <v>52822</v>
      </c>
      <c r="H6">
        <v>795</v>
      </c>
      <c r="I6">
        <f>G6/H6</f>
        <v>66.442767295597491</v>
      </c>
      <c r="J6">
        <f>E6/I6</f>
        <v>0.48193087755722031</v>
      </c>
    </row>
    <row r="7" spans="1:10" x14ac:dyDescent="0.2">
      <c r="A7" s="2" t="s">
        <v>1</v>
      </c>
      <c r="B7" s="2">
        <v>2</v>
      </c>
      <c r="C7">
        <v>212819</v>
      </c>
      <c r="D7">
        <v>1216</v>
      </c>
      <c r="E7">
        <f>(C7/D7)-E19</f>
        <v>53.834143518518516</v>
      </c>
      <c r="G7">
        <v>64493</v>
      </c>
      <c r="H7">
        <v>795</v>
      </c>
      <c r="I7">
        <f>G7/H7</f>
        <v>81.123270440251574</v>
      </c>
      <c r="J7">
        <f>E7/I7</f>
        <v>0.66360913738269611</v>
      </c>
    </row>
    <row r="8" spans="1:10" x14ac:dyDescent="0.2">
      <c r="A8" s="2" t="s">
        <v>1</v>
      </c>
      <c r="B8" s="2">
        <v>3</v>
      </c>
      <c r="C8">
        <v>228261</v>
      </c>
      <c r="D8">
        <v>1216</v>
      </c>
      <c r="E8">
        <f>(C8/D8)-E19</f>
        <v>66.533156676413256</v>
      </c>
      <c r="G8">
        <v>65399</v>
      </c>
      <c r="H8">
        <v>795</v>
      </c>
      <c r="I8">
        <f>G8/H8</f>
        <v>82.262893081761007</v>
      </c>
      <c r="J8">
        <f>E8/I8</f>
        <v>0.80878697774810837</v>
      </c>
    </row>
    <row r="9" spans="1:10" x14ac:dyDescent="0.2">
      <c r="A9" s="2" t="s">
        <v>1</v>
      </c>
      <c r="B9" s="2">
        <v>4</v>
      </c>
      <c r="C9">
        <v>206446</v>
      </c>
      <c r="D9">
        <v>1064</v>
      </c>
      <c r="E9">
        <f>(C9/D9)-E19</f>
        <v>72.846714007240308</v>
      </c>
      <c r="G9">
        <v>62756</v>
      </c>
      <c r="H9">
        <v>795</v>
      </c>
      <c r="I9">
        <f>G9/H9</f>
        <v>78.93836477987422</v>
      </c>
      <c r="J9">
        <f>E9/I9</f>
        <v>0.92283028930709476</v>
      </c>
    </row>
    <row r="10" spans="1:10" x14ac:dyDescent="0.2">
      <c r="A10" s="2" t="s">
        <v>1</v>
      </c>
      <c r="B10" s="2">
        <v>5</v>
      </c>
      <c r="C10">
        <v>171197</v>
      </c>
      <c r="D10">
        <v>1064</v>
      </c>
      <c r="E10">
        <f>(C10/D10)-E19</f>
        <v>39.717954608744094</v>
      </c>
      <c r="G10">
        <v>69560</v>
      </c>
      <c r="H10">
        <v>795</v>
      </c>
      <c r="I10">
        <f>G10/H10</f>
        <v>87.496855345911953</v>
      </c>
      <c r="J10">
        <f>E10/I10</f>
        <v>0.45393579519769339</v>
      </c>
    </row>
    <row r="11" spans="1:10" x14ac:dyDescent="0.2">
      <c r="A11" s="2" t="s">
        <v>2</v>
      </c>
      <c r="B11" s="2">
        <v>1</v>
      </c>
      <c r="C11">
        <v>207699</v>
      </c>
      <c r="D11">
        <v>1064</v>
      </c>
      <c r="E11">
        <f>(C11/D11)-E18</f>
        <v>63.50602199944305</v>
      </c>
      <c r="G11">
        <v>60308</v>
      </c>
      <c r="H11">
        <v>795</v>
      </c>
      <c r="I11">
        <f>G11/H11</f>
        <v>75.859119496855342</v>
      </c>
      <c r="J11">
        <f>E11/I11</f>
        <v>0.83715738359019076</v>
      </c>
    </row>
    <row r="12" spans="1:10" x14ac:dyDescent="0.2">
      <c r="A12" s="2" t="s">
        <v>2</v>
      </c>
      <c r="B12" s="2">
        <v>2</v>
      </c>
      <c r="C12">
        <v>212938</v>
      </c>
      <c r="D12">
        <v>1064</v>
      </c>
      <c r="E12">
        <f>(C12/D12)-E18</f>
        <v>68.429894179894177</v>
      </c>
      <c r="G12">
        <v>75535</v>
      </c>
      <c r="H12">
        <v>795</v>
      </c>
      <c r="I12">
        <f>G12/H12</f>
        <v>95.012578616352201</v>
      </c>
      <c r="J12">
        <f>E12/I12</f>
        <v>0.72021931386795357</v>
      </c>
    </row>
    <row r="13" spans="1:10" x14ac:dyDescent="0.2">
      <c r="A13" s="2" t="s">
        <v>2</v>
      </c>
      <c r="B13" s="2">
        <v>3</v>
      </c>
      <c r="C13">
        <v>185907</v>
      </c>
      <c r="D13">
        <v>1064</v>
      </c>
      <c r="E13">
        <f>(C13/D13)-E18</f>
        <v>43.024818991924263</v>
      </c>
      <c r="G13">
        <v>62709</v>
      </c>
      <c r="H13">
        <v>795</v>
      </c>
      <c r="I13">
        <f>G13/H13</f>
        <v>78.879245283018861</v>
      </c>
      <c r="J13">
        <f>E13/I13</f>
        <v>0.5454517070688385</v>
      </c>
    </row>
    <row r="14" spans="1:10" x14ac:dyDescent="0.2">
      <c r="A14" s="2" t="s">
        <v>2</v>
      </c>
      <c r="B14" s="2">
        <v>4</v>
      </c>
      <c r="C14">
        <v>198909</v>
      </c>
      <c r="D14">
        <v>1026</v>
      </c>
      <c r="E14">
        <f>(C14/D14)-E18</f>
        <v>62.168615984405477</v>
      </c>
      <c r="G14">
        <v>78427</v>
      </c>
      <c r="H14">
        <v>795</v>
      </c>
      <c r="I14">
        <f>G14/H14</f>
        <v>98.650314465408812</v>
      </c>
      <c r="J14">
        <f>E14/I14</f>
        <v>0.6301917669629381</v>
      </c>
    </row>
    <row r="15" spans="1:10" x14ac:dyDescent="0.2">
      <c r="A15" s="2" t="s">
        <v>2</v>
      </c>
      <c r="B15" s="2">
        <v>5</v>
      </c>
      <c r="C15">
        <v>231146</v>
      </c>
      <c r="D15">
        <v>1026</v>
      </c>
      <c r="E15">
        <f>(C15/D15)-E18</f>
        <v>93.588693957115026</v>
      </c>
      <c r="G15">
        <v>60157</v>
      </c>
      <c r="H15">
        <v>795</v>
      </c>
      <c r="I15">
        <f>G15/H15</f>
        <v>75.669182389937106</v>
      </c>
      <c r="J15">
        <f>E15/I15</f>
        <v>1.2368138653175267</v>
      </c>
    </row>
    <row r="16" spans="1:10" x14ac:dyDescent="0.2">
      <c r="A16" s="2" t="s">
        <v>2</v>
      </c>
      <c r="B16" s="2">
        <v>6</v>
      </c>
      <c r="C16">
        <v>296829</v>
      </c>
      <c r="D16">
        <v>1311</v>
      </c>
      <c r="E16">
        <f>(C16/D16)-E18</f>
        <v>94.714382574794485</v>
      </c>
      <c r="G16">
        <v>40505</v>
      </c>
      <c r="H16">
        <v>795</v>
      </c>
      <c r="I16">
        <f>G16/H16</f>
        <v>50.949685534591197</v>
      </c>
      <c r="J16">
        <f>E16/I16</f>
        <v>1.8589787469932506</v>
      </c>
    </row>
    <row r="18" spans="4:5" x14ac:dyDescent="0.2">
      <c r="D18" t="s">
        <v>11</v>
      </c>
      <c r="E18">
        <f>135124/1026</f>
        <v>131.69980506822611</v>
      </c>
    </row>
    <row r="19" spans="4:5" x14ac:dyDescent="0.2">
      <c r="D19" t="s">
        <v>12</v>
      </c>
      <c r="E19">
        <f>130876/1080</f>
        <v>121.18148148148148</v>
      </c>
    </row>
    <row r="20" spans="4:5" x14ac:dyDescent="0.2">
      <c r="D20" t="s">
        <v>13</v>
      </c>
      <c r="E20">
        <f>104541/1080</f>
        <v>96.797222222222217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12AF-4DCC-E34F-A347-6FB7BA04D858}">
  <dimension ref="A1:J20"/>
  <sheetViews>
    <sheetView workbookViewId="0">
      <selection sqref="A1:J20"/>
    </sheetView>
  </sheetViews>
  <sheetFormatPr baseColWidth="10" defaultRowHeight="16" x14ac:dyDescent="0.2"/>
  <sheetData>
    <row r="1" spans="1:10" x14ac:dyDescent="0.2">
      <c r="A1" s="3"/>
      <c r="B1" s="3"/>
      <c r="C1" s="4" t="s">
        <v>7</v>
      </c>
      <c r="D1" s="4"/>
      <c r="E1" s="4" t="s">
        <v>14</v>
      </c>
      <c r="F1" s="4"/>
      <c r="G1" s="4" t="s">
        <v>15</v>
      </c>
      <c r="H1" s="4"/>
      <c r="I1" s="4"/>
      <c r="J1" s="4" t="s">
        <v>20</v>
      </c>
    </row>
    <row r="2" spans="1:10" x14ac:dyDescent="0.2">
      <c r="A2" s="3" t="s">
        <v>18</v>
      </c>
      <c r="B2" s="5" t="s">
        <v>19</v>
      </c>
      <c r="C2" s="4" t="s">
        <v>8</v>
      </c>
      <c r="D2" s="4" t="s">
        <v>9</v>
      </c>
      <c r="E2" s="4" t="s">
        <v>10</v>
      </c>
      <c r="F2" s="4"/>
      <c r="G2" s="4" t="s">
        <v>8</v>
      </c>
      <c r="H2" s="4" t="s">
        <v>9</v>
      </c>
      <c r="I2" s="4" t="s">
        <v>16</v>
      </c>
      <c r="J2" s="4" t="s">
        <v>17</v>
      </c>
    </row>
    <row r="3" spans="1:10" x14ac:dyDescent="0.2">
      <c r="A3" s="2" t="s">
        <v>0</v>
      </c>
      <c r="B3" s="2">
        <v>1</v>
      </c>
      <c r="C3">
        <v>106355</v>
      </c>
      <c r="D3">
        <v>1232</v>
      </c>
      <c r="E3">
        <f>(C3/D3)-E20</f>
        <v>24.324842815914252</v>
      </c>
      <c r="G3">
        <v>71387</v>
      </c>
      <c r="H3">
        <v>644</v>
      </c>
      <c r="I3">
        <f>G3/H3</f>
        <v>110.84937888198758</v>
      </c>
      <c r="J3">
        <f>E3/I3</f>
        <v>0.21944049719765193</v>
      </c>
    </row>
    <row r="4" spans="1:10" x14ac:dyDescent="0.2">
      <c r="A4" s="2" t="s">
        <v>0</v>
      </c>
      <c r="B4" s="2">
        <v>2</v>
      </c>
      <c r="C4">
        <v>96604</v>
      </c>
      <c r="D4">
        <v>1232</v>
      </c>
      <c r="E4">
        <f>(C4/D4)-E20</f>
        <v>16.410070088641518</v>
      </c>
      <c r="G4">
        <v>91120</v>
      </c>
      <c r="H4">
        <v>644</v>
      </c>
      <c r="I4">
        <f t="shared" ref="I4:I16" si="0">G4/H4</f>
        <v>141.49068322981367</v>
      </c>
      <c r="J4">
        <f>E4/I4</f>
        <v>0.11597986322525393</v>
      </c>
    </row>
    <row r="5" spans="1:10" x14ac:dyDescent="0.2">
      <c r="A5" s="2" t="s">
        <v>0</v>
      </c>
      <c r="B5" s="2">
        <v>3</v>
      </c>
      <c r="C5">
        <v>96503</v>
      </c>
      <c r="D5">
        <v>1232</v>
      </c>
      <c r="E5">
        <f>(C5/D5)-E20</f>
        <v>16.328089569160994</v>
      </c>
      <c r="G5">
        <v>93109</v>
      </c>
      <c r="H5">
        <v>644</v>
      </c>
      <c r="I5">
        <f t="shared" si="0"/>
        <v>144.57919254658384</v>
      </c>
      <c r="J5">
        <f>E5/I5</f>
        <v>0.11293526600586067</v>
      </c>
    </row>
    <row r="6" spans="1:10" x14ac:dyDescent="0.2">
      <c r="A6" s="2" t="s">
        <v>1</v>
      </c>
      <c r="B6" s="2">
        <v>1</v>
      </c>
      <c r="C6">
        <v>151580</v>
      </c>
      <c r="D6">
        <v>1232</v>
      </c>
      <c r="E6">
        <f t="shared" ref="E6:E7" si="1">C6/D6</f>
        <v>123.03571428571429</v>
      </c>
      <c r="G6">
        <v>102851</v>
      </c>
      <c r="H6">
        <v>644</v>
      </c>
      <c r="I6">
        <f t="shared" si="0"/>
        <v>159.70652173913044</v>
      </c>
      <c r="J6">
        <f>E6/I6</f>
        <v>0.77038628695880451</v>
      </c>
    </row>
    <row r="7" spans="1:10" x14ac:dyDescent="0.2">
      <c r="A7" s="2" t="s">
        <v>1</v>
      </c>
      <c r="B7" s="2">
        <v>2</v>
      </c>
      <c r="C7">
        <v>184592</v>
      </c>
      <c r="D7">
        <v>1232</v>
      </c>
      <c r="E7">
        <f t="shared" si="1"/>
        <v>149.83116883116884</v>
      </c>
      <c r="G7">
        <v>107539</v>
      </c>
      <c r="H7">
        <v>644</v>
      </c>
      <c r="I7">
        <f t="shared" si="0"/>
        <v>166.9860248447205</v>
      </c>
      <c r="J7">
        <f>E7/I7</f>
        <v>0.89726771429223562</v>
      </c>
    </row>
    <row r="8" spans="1:10" x14ac:dyDescent="0.2">
      <c r="A8" s="2" t="s">
        <v>1</v>
      </c>
      <c r="B8" s="2">
        <v>3</v>
      </c>
      <c r="C8">
        <v>184980</v>
      </c>
      <c r="D8">
        <v>1232</v>
      </c>
      <c r="E8">
        <f>(C8/D8)-E19</f>
        <v>46.970779220779235</v>
      </c>
      <c r="G8">
        <v>98690</v>
      </c>
      <c r="H8">
        <v>644</v>
      </c>
      <c r="I8">
        <f t="shared" si="0"/>
        <v>153.24534161490683</v>
      </c>
      <c r="J8">
        <f>E8/I8</f>
        <v>0.30650706067668282</v>
      </c>
    </row>
    <row r="9" spans="1:10" x14ac:dyDescent="0.2">
      <c r="A9" s="2" t="s">
        <v>1</v>
      </c>
      <c r="B9" s="2">
        <v>4</v>
      </c>
      <c r="C9">
        <v>239601</v>
      </c>
      <c r="D9">
        <v>1232</v>
      </c>
      <c r="E9">
        <f>(C9/D9)-E19</f>
        <v>91.306006493506487</v>
      </c>
      <c r="G9">
        <v>110322</v>
      </c>
      <c r="H9">
        <v>644</v>
      </c>
      <c r="I9">
        <f t="shared" si="0"/>
        <v>171.30745341614906</v>
      </c>
      <c r="J9">
        <f>E9/I9</f>
        <v>0.53299494372671075</v>
      </c>
    </row>
    <row r="10" spans="1:10" x14ac:dyDescent="0.2">
      <c r="A10" s="2" t="s">
        <v>1</v>
      </c>
      <c r="B10" s="2">
        <v>5</v>
      </c>
      <c r="C10">
        <v>283731</v>
      </c>
      <c r="D10">
        <v>1232</v>
      </c>
      <c r="E10">
        <f>(C10/D10)-E19</f>
        <v>127.1258116883117</v>
      </c>
      <c r="G10">
        <v>100024</v>
      </c>
      <c r="H10">
        <v>644</v>
      </c>
      <c r="I10">
        <f t="shared" si="0"/>
        <v>155.31677018633539</v>
      </c>
      <c r="J10">
        <f>E10/I10</f>
        <v>0.81849378876342416</v>
      </c>
    </row>
    <row r="11" spans="1:10" x14ac:dyDescent="0.2">
      <c r="A11" s="2" t="s">
        <v>2</v>
      </c>
      <c r="B11" s="2">
        <v>1</v>
      </c>
      <c r="C11">
        <v>226614</v>
      </c>
      <c r="D11">
        <v>1232</v>
      </c>
      <c r="E11">
        <f>(C11/D11)-E18</f>
        <v>45.995129870129887</v>
      </c>
      <c r="G11">
        <v>91370</v>
      </c>
      <c r="H11">
        <v>644</v>
      </c>
      <c r="I11">
        <f t="shared" si="0"/>
        <v>141.87888198757764</v>
      </c>
      <c r="J11">
        <f>E11/I11</f>
        <v>0.32418587760056522</v>
      </c>
    </row>
    <row r="12" spans="1:10" x14ac:dyDescent="0.2">
      <c r="A12" s="2" t="s">
        <v>2</v>
      </c>
      <c r="B12" s="2">
        <v>2</v>
      </c>
      <c r="C12">
        <v>172407</v>
      </c>
      <c r="D12">
        <v>1232</v>
      </c>
      <c r="E12">
        <f>(C12/D12)-E18</f>
        <v>1.9959415584415581</v>
      </c>
      <c r="G12">
        <v>101266</v>
      </c>
      <c r="H12">
        <v>644</v>
      </c>
      <c r="I12">
        <f t="shared" si="0"/>
        <v>157.24534161490683</v>
      </c>
      <c r="J12">
        <f>E12/I12</f>
        <v>1.2693168127864864E-2</v>
      </c>
    </row>
    <row r="13" spans="1:10" x14ac:dyDescent="0.2">
      <c r="A13" s="2" t="s">
        <v>2</v>
      </c>
      <c r="B13" s="2">
        <v>3</v>
      </c>
      <c r="C13">
        <v>193932</v>
      </c>
      <c r="D13">
        <v>1232</v>
      </c>
      <c r="E13">
        <f>(C13/D13)-E18</f>
        <v>19.467532467532465</v>
      </c>
      <c r="G13">
        <v>113300</v>
      </c>
      <c r="H13">
        <v>644</v>
      </c>
      <c r="I13">
        <f t="shared" si="0"/>
        <v>175.93167701863354</v>
      </c>
      <c r="J13">
        <f>E13/I13</f>
        <v>0.11065393564952257</v>
      </c>
    </row>
    <row r="14" spans="1:10" x14ac:dyDescent="0.2">
      <c r="A14" s="2" t="s">
        <v>2</v>
      </c>
      <c r="B14" s="2">
        <v>4</v>
      </c>
      <c r="C14">
        <v>229198</v>
      </c>
      <c r="D14">
        <v>1232</v>
      </c>
      <c r="E14">
        <f>(C14/D14)-E18</f>
        <v>48.092532467532465</v>
      </c>
      <c r="G14">
        <v>83573</v>
      </c>
      <c r="H14">
        <v>644</v>
      </c>
      <c r="I14">
        <f t="shared" si="0"/>
        <v>129.77173913043478</v>
      </c>
      <c r="J14">
        <f>E14/I14</f>
        <v>0.37059326467987158</v>
      </c>
    </row>
    <row r="15" spans="1:10" x14ac:dyDescent="0.2">
      <c r="A15" s="2" t="s">
        <v>2</v>
      </c>
      <c r="B15" s="2">
        <v>5</v>
      </c>
      <c r="C15">
        <v>207574</v>
      </c>
      <c r="D15">
        <v>1232</v>
      </c>
      <c r="E15">
        <f>(C15/D15)-E18</f>
        <v>30.540584415584419</v>
      </c>
      <c r="G15">
        <v>96952</v>
      </c>
      <c r="H15">
        <v>644</v>
      </c>
      <c r="I15">
        <f t="shared" si="0"/>
        <v>150.54658385093168</v>
      </c>
      <c r="J15">
        <f>E15/I15</f>
        <v>0.20286467905392735</v>
      </c>
    </row>
    <row r="16" spans="1:10" x14ac:dyDescent="0.2">
      <c r="A16" s="2" t="s">
        <v>2</v>
      </c>
      <c r="B16" s="2">
        <v>6</v>
      </c>
      <c r="C16">
        <v>252041</v>
      </c>
      <c r="D16">
        <v>1232</v>
      </c>
      <c r="E16">
        <f>(C16/D16)-E18</f>
        <v>66.633928571428584</v>
      </c>
      <c r="G16">
        <v>84692</v>
      </c>
      <c r="H16">
        <v>644</v>
      </c>
      <c r="I16">
        <f t="shared" si="0"/>
        <v>131.50931677018633</v>
      </c>
      <c r="J16">
        <f>E16/I16</f>
        <v>0.50668599159306671</v>
      </c>
    </row>
    <row r="18" spans="4:5" x14ac:dyDescent="0.2">
      <c r="D18" t="s">
        <v>4</v>
      </c>
      <c r="E18">
        <f>169948/1232</f>
        <v>137.94480519480518</v>
      </c>
    </row>
    <row r="19" spans="4:5" x14ac:dyDescent="0.2">
      <c r="D19" t="s">
        <v>5</v>
      </c>
      <c r="E19">
        <f>127112/1232</f>
        <v>103.17532467532467</v>
      </c>
    </row>
    <row r="20" spans="4:5" x14ac:dyDescent="0.2">
      <c r="D20" t="s">
        <v>6</v>
      </c>
      <c r="E20">
        <f>54686/882</f>
        <v>62.002267573696145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A0D8-886B-7349-9A8F-B0599BF48347}">
  <dimension ref="A1:C37"/>
  <sheetViews>
    <sheetView workbookViewId="0">
      <selection sqref="A1:C23"/>
    </sheetView>
  </sheetViews>
  <sheetFormatPr baseColWidth="10" defaultRowHeight="16" x14ac:dyDescent="0.2"/>
  <sheetData>
    <row r="1" spans="1:3" x14ac:dyDescent="0.2">
      <c r="A1" s="3" t="s">
        <v>18</v>
      </c>
      <c r="B1" s="5" t="s">
        <v>19</v>
      </c>
      <c r="C1" s="1" t="s">
        <v>21</v>
      </c>
    </row>
    <row r="2" spans="1:3" x14ac:dyDescent="0.2">
      <c r="A2" s="2" t="s">
        <v>0</v>
      </c>
      <c r="B2">
        <v>1</v>
      </c>
      <c r="C2">
        <v>189000</v>
      </c>
    </row>
    <row r="3" spans="1:3" x14ac:dyDescent="0.2">
      <c r="A3" s="2" t="s">
        <v>0</v>
      </c>
      <c r="B3">
        <v>2</v>
      </c>
      <c r="C3">
        <v>182920</v>
      </c>
    </row>
    <row r="4" spans="1:3" x14ac:dyDescent="0.2">
      <c r="A4" s="2" t="s">
        <v>0</v>
      </c>
      <c r="B4">
        <v>3</v>
      </c>
      <c r="C4">
        <v>175749</v>
      </c>
    </row>
    <row r="5" spans="1:3" x14ac:dyDescent="0.2">
      <c r="A5" s="2" t="s">
        <v>0</v>
      </c>
      <c r="B5">
        <v>4</v>
      </c>
      <c r="C5">
        <v>179707</v>
      </c>
    </row>
    <row r="6" spans="1:3" x14ac:dyDescent="0.2">
      <c r="A6" s="2" t="s">
        <v>0</v>
      </c>
      <c r="B6">
        <v>5</v>
      </c>
      <c r="C6">
        <v>199975</v>
      </c>
    </row>
    <row r="7" spans="1:3" x14ac:dyDescent="0.2">
      <c r="A7" s="2" t="s">
        <v>0</v>
      </c>
      <c r="B7">
        <v>6</v>
      </c>
      <c r="C7">
        <v>157316</v>
      </c>
    </row>
    <row r="8" spans="1:3" x14ac:dyDescent="0.2">
      <c r="A8" s="2" t="s">
        <v>0</v>
      </c>
      <c r="B8">
        <v>7</v>
      </c>
      <c r="C8">
        <v>187054</v>
      </c>
    </row>
    <row r="9" spans="1:3" x14ac:dyDescent="0.2">
      <c r="A9" s="2" t="s">
        <v>1</v>
      </c>
      <c r="B9">
        <v>1</v>
      </c>
      <c r="C9">
        <v>463630</v>
      </c>
    </row>
    <row r="10" spans="1:3" x14ac:dyDescent="0.2">
      <c r="A10" s="2" t="s">
        <v>1</v>
      </c>
      <c r="B10">
        <v>2</v>
      </c>
      <c r="C10">
        <v>418994</v>
      </c>
    </row>
    <row r="11" spans="1:3" x14ac:dyDescent="0.2">
      <c r="A11" s="2" t="s">
        <v>1</v>
      </c>
      <c r="B11">
        <v>3</v>
      </c>
      <c r="C11">
        <v>263947</v>
      </c>
    </row>
    <row r="12" spans="1:3" x14ac:dyDescent="0.2">
      <c r="A12" s="2" t="s">
        <v>1</v>
      </c>
      <c r="B12">
        <v>4</v>
      </c>
      <c r="C12">
        <v>244902</v>
      </c>
    </row>
    <row r="13" spans="1:3" x14ac:dyDescent="0.2">
      <c r="A13" s="2" t="s">
        <v>1</v>
      </c>
      <c r="B13">
        <v>5</v>
      </c>
      <c r="C13">
        <v>167626</v>
      </c>
    </row>
    <row r="14" spans="1:3" x14ac:dyDescent="0.2">
      <c r="A14" s="2" t="s">
        <v>1</v>
      </c>
      <c r="B14">
        <v>6</v>
      </c>
      <c r="C14">
        <v>234643</v>
      </c>
    </row>
    <row r="15" spans="1:3" x14ac:dyDescent="0.2">
      <c r="A15" s="2" t="s">
        <v>2</v>
      </c>
      <c r="B15">
        <v>1</v>
      </c>
      <c r="C15">
        <v>385038</v>
      </c>
    </row>
    <row r="16" spans="1:3" x14ac:dyDescent="0.2">
      <c r="A16" s="2" t="s">
        <v>2</v>
      </c>
      <c r="B16">
        <v>2</v>
      </c>
      <c r="C16">
        <v>348267</v>
      </c>
    </row>
    <row r="17" spans="1:3" x14ac:dyDescent="0.2">
      <c r="A17" s="2" t="s">
        <v>2</v>
      </c>
      <c r="B17">
        <v>3</v>
      </c>
      <c r="C17">
        <v>326549</v>
      </c>
    </row>
    <row r="18" spans="1:3" x14ac:dyDescent="0.2">
      <c r="A18" s="2" t="s">
        <v>2</v>
      </c>
      <c r="B18">
        <v>4</v>
      </c>
      <c r="C18">
        <v>270883</v>
      </c>
    </row>
    <row r="19" spans="1:3" x14ac:dyDescent="0.2">
      <c r="A19" s="2" t="s">
        <v>2</v>
      </c>
      <c r="B19">
        <v>5</v>
      </c>
      <c r="C19">
        <v>277168</v>
      </c>
    </row>
    <row r="20" spans="1:3" x14ac:dyDescent="0.2">
      <c r="A20" s="2" t="s">
        <v>2</v>
      </c>
      <c r="B20">
        <v>6</v>
      </c>
      <c r="C20">
        <v>211196</v>
      </c>
    </row>
    <row r="21" spans="1:3" x14ac:dyDescent="0.2">
      <c r="A21" s="2" t="s">
        <v>2</v>
      </c>
      <c r="B21">
        <v>7</v>
      </c>
      <c r="C21">
        <v>268269</v>
      </c>
    </row>
    <row r="22" spans="1:3" x14ac:dyDescent="0.2">
      <c r="A22" s="2" t="s">
        <v>2</v>
      </c>
      <c r="B22">
        <v>8</v>
      </c>
      <c r="C22">
        <v>309727</v>
      </c>
    </row>
    <row r="23" spans="1:3" x14ac:dyDescent="0.2">
      <c r="A23" s="2"/>
    </row>
    <row r="37" spans="1:1" x14ac:dyDescent="0.2">
      <c r="A3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6BAF-6EBC-304D-8539-677C989AFAC7}">
  <dimension ref="A1:C34"/>
  <sheetViews>
    <sheetView workbookViewId="0">
      <selection activeCell="G22" sqref="G22"/>
    </sheetView>
  </sheetViews>
  <sheetFormatPr baseColWidth="10" defaultRowHeight="16" x14ac:dyDescent="0.2"/>
  <sheetData>
    <row r="1" spans="1:3" x14ac:dyDescent="0.2">
      <c r="A1" s="3" t="s">
        <v>18</v>
      </c>
      <c r="B1" s="5" t="s">
        <v>19</v>
      </c>
      <c r="C1" s="1" t="s">
        <v>21</v>
      </c>
    </row>
    <row r="2" spans="1:3" x14ac:dyDescent="0.2">
      <c r="A2" s="2" t="s">
        <v>0</v>
      </c>
      <c r="B2">
        <v>1</v>
      </c>
      <c r="C2">
        <v>218361</v>
      </c>
    </row>
    <row r="3" spans="1:3" x14ac:dyDescent="0.2">
      <c r="A3" s="2" t="s">
        <v>0</v>
      </c>
      <c r="B3">
        <v>2</v>
      </c>
      <c r="C3">
        <v>204193</v>
      </c>
    </row>
    <row r="4" spans="1:3" x14ac:dyDescent="0.2">
      <c r="A4" s="2" t="s">
        <v>0</v>
      </c>
      <c r="B4">
        <v>3</v>
      </c>
      <c r="C4">
        <v>203232</v>
      </c>
    </row>
    <row r="5" spans="1:3" x14ac:dyDescent="0.2">
      <c r="A5" s="2" t="s">
        <v>0</v>
      </c>
      <c r="B5">
        <v>4</v>
      </c>
      <c r="C5">
        <v>201120</v>
      </c>
    </row>
    <row r="6" spans="1:3" x14ac:dyDescent="0.2">
      <c r="A6" s="2" t="s">
        <v>0</v>
      </c>
      <c r="B6">
        <v>5</v>
      </c>
      <c r="C6">
        <v>197608</v>
      </c>
    </row>
    <row r="7" spans="1:3" x14ac:dyDescent="0.2">
      <c r="A7" s="2" t="s">
        <v>0</v>
      </c>
      <c r="B7">
        <v>6</v>
      </c>
      <c r="C7">
        <v>180131</v>
      </c>
    </row>
    <row r="8" spans="1:3" x14ac:dyDescent="0.2">
      <c r="A8" s="2" t="s">
        <v>1</v>
      </c>
      <c r="B8">
        <v>1</v>
      </c>
      <c r="C8">
        <v>382361</v>
      </c>
    </row>
    <row r="9" spans="1:3" x14ac:dyDescent="0.2">
      <c r="A9" s="2" t="s">
        <v>1</v>
      </c>
      <c r="B9">
        <v>2</v>
      </c>
      <c r="C9">
        <v>358801</v>
      </c>
    </row>
    <row r="10" spans="1:3" x14ac:dyDescent="0.2">
      <c r="A10" s="2" t="s">
        <v>1</v>
      </c>
      <c r="B10">
        <v>3</v>
      </c>
      <c r="C10">
        <v>319130</v>
      </c>
    </row>
    <row r="11" spans="1:3" x14ac:dyDescent="0.2">
      <c r="A11" s="2" t="s">
        <v>1</v>
      </c>
      <c r="B11">
        <v>4</v>
      </c>
      <c r="C11">
        <v>244970</v>
      </c>
    </row>
    <row r="12" spans="1:3" x14ac:dyDescent="0.2">
      <c r="A12" s="2" t="s">
        <v>1</v>
      </c>
      <c r="B12">
        <v>5</v>
      </c>
      <c r="C12">
        <v>275411</v>
      </c>
    </row>
    <row r="13" spans="1:3" x14ac:dyDescent="0.2">
      <c r="A13" s="2" t="s">
        <v>1</v>
      </c>
      <c r="B13">
        <v>6</v>
      </c>
      <c r="C13">
        <v>307713</v>
      </c>
    </row>
    <row r="14" spans="1:3" x14ac:dyDescent="0.2">
      <c r="A14" s="2" t="s">
        <v>2</v>
      </c>
      <c r="B14">
        <v>1</v>
      </c>
      <c r="C14">
        <v>403099</v>
      </c>
    </row>
    <row r="15" spans="1:3" x14ac:dyDescent="0.2">
      <c r="A15" s="2" t="s">
        <v>2</v>
      </c>
      <c r="B15">
        <v>2</v>
      </c>
      <c r="C15">
        <v>328036</v>
      </c>
    </row>
    <row r="16" spans="1:3" x14ac:dyDescent="0.2">
      <c r="A16" s="2" t="s">
        <v>2</v>
      </c>
      <c r="B16">
        <v>3</v>
      </c>
      <c r="C16">
        <v>323901</v>
      </c>
    </row>
    <row r="17" spans="1:3" x14ac:dyDescent="0.2">
      <c r="A17" s="2" t="s">
        <v>2</v>
      </c>
      <c r="B17">
        <v>4</v>
      </c>
      <c r="C17">
        <v>271307</v>
      </c>
    </row>
    <row r="18" spans="1:3" x14ac:dyDescent="0.2">
      <c r="A18" s="2" t="s">
        <v>2</v>
      </c>
      <c r="B18">
        <v>5</v>
      </c>
      <c r="C18">
        <v>252925</v>
      </c>
    </row>
    <row r="19" spans="1:3" x14ac:dyDescent="0.2">
      <c r="A19" s="2" t="s">
        <v>2</v>
      </c>
      <c r="B19">
        <v>6</v>
      </c>
      <c r="C19">
        <v>324023</v>
      </c>
    </row>
    <row r="20" spans="1:3" x14ac:dyDescent="0.2">
      <c r="A20" s="2" t="s">
        <v>2</v>
      </c>
      <c r="B20">
        <v>7</v>
      </c>
      <c r="C20">
        <v>351852</v>
      </c>
    </row>
    <row r="33" spans="1:1" x14ac:dyDescent="0.2">
      <c r="A33" s="2"/>
    </row>
    <row r="34" spans="1:1" x14ac:dyDescent="0.2">
      <c r="A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Fp1 SN - Western</vt:lpstr>
      <vt:lpstr>Fp2 SN - Western</vt:lpstr>
      <vt:lpstr>Fp1 ST - Western</vt:lpstr>
      <vt:lpstr>Fp2 ST - Western</vt:lpstr>
      <vt:lpstr>Fp1 SN - Dot blot</vt:lpstr>
      <vt:lpstr>Fp2 SN - Dot blot</vt:lpstr>
      <vt:lpstr>Fp1 ST - Dot blot</vt:lpstr>
      <vt:lpstr>Fp2 ST - Dot blot</vt:lpstr>
      <vt:lpstr>benCom SN - Western</vt:lpstr>
      <vt:lpstr>benCom ST - Western</vt:lpstr>
      <vt:lpstr>benCom SN - Dot blot</vt:lpstr>
      <vt:lpstr>benCom ST - Dot blot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Moiseyenko, Anastasiya (Ana)</dc:creator>
  <cp:lastModifiedBy>Moiseyenko, Anastasiya (Ana)</cp:lastModifiedBy>
  <dcterms:created xsi:type="dcterms:W3CDTF">2025-08-16T01:40:02Z</dcterms:created>
  <dcterms:modified xsi:type="dcterms:W3CDTF">2025-08-18T20:37:25Z</dcterms:modified>
</cp:coreProperties>
</file>